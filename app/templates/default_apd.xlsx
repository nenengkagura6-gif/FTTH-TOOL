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DATA\PYTHON\APD\HPDB FIX\"/>
    </mc:Choice>
  </mc:AlternateContent>
  <bookViews>
    <workbookView xWindow="0" yWindow="0" windowWidth="23040" windowHeight="9270" tabRatio="500"/>
  </bookViews>
  <sheets>
    <sheet name="Homepass Database" sheetId="1" r:id="rId1"/>
    <sheet name="INSTALLATION" sheetId="3" r:id="rId2"/>
    <sheet name="Compatibility Report" sheetId="4" r:id="rId3"/>
  </sheets>
  <definedNames>
    <definedName name="_xlnm._FilterDatabase" localSheetId="0" hidden="1">'Homepass Database'!$A$9:$BD$104</definedName>
    <definedName name="Excel_BuiltIn__FilterDatabase" localSheetId="0">'Homepass Database'!$M$8:$BD$8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I7" i="1"/>
  <c r="BE595" i="1" l="1"/>
  <c r="BF595" i="1"/>
  <c r="BE596" i="1"/>
  <c r="BF596" i="1"/>
  <c r="BE597" i="1"/>
  <c r="BF597" i="1"/>
  <c r="BE598" i="1"/>
  <c r="BF598" i="1"/>
  <c r="BE599" i="1"/>
  <c r="BF599" i="1"/>
  <c r="BE600" i="1"/>
  <c r="BF600" i="1"/>
  <c r="BE601" i="1"/>
  <c r="BF601" i="1"/>
  <c r="BE602" i="1"/>
  <c r="BF602" i="1"/>
  <c r="BE603" i="1"/>
  <c r="BF603" i="1"/>
  <c r="BE604" i="1"/>
  <c r="BF604" i="1"/>
  <c r="BE605" i="1"/>
  <c r="BF605" i="1"/>
  <c r="BE606" i="1"/>
  <c r="BF606" i="1"/>
  <c r="BE607" i="1"/>
  <c r="BF607" i="1"/>
  <c r="BE608" i="1"/>
  <c r="BF608" i="1"/>
  <c r="BE609" i="1"/>
  <c r="BF609" i="1"/>
  <c r="BE610" i="1"/>
  <c r="BF610" i="1"/>
  <c r="BE611" i="1"/>
  <c r="BF611" i="1"/>
  <c r="BE583" i="1"/>
  <c r="BF583" i="1"/>
  <c r="BE584" i="1"/>
  <c r="BF584" i="1"/>
  <c r="BE585" i="1"/>
  <c r="BF585" i="1"/>
  <c r="BE586" i="1"/>
  <c r="BF586" i="1"/>
  <c r="BE587" i="1"/>
  <c r="BF587" i="1"/>
  <c r="BE588" i="1"/>
  <c r="BF588" i="1"/>
  <c r="BE589" i="1"/>
  <c r="BF589" i="1"/>
  <c r="BE590" i="1"/>
  <c r="BF590" i="1"/>
  <c r="BE591" i="1"/>
  <c r="BF591" i="1"/>
  <c r="BE592" i="1"/>
  <c r="BF592" i="1"/>
  <c r="BE593" i="1"/>
  <c r="BF593" i="1"/>
  <c r="BE594" i="1"/>
  <c r="BF594" i="1"/>
  <c r="BE399" i="1"/>
  <c r="BF399" i="1"/>
  <c r="BE400" i="1"/>
  <c r="BF400" i="1"/>
  <c r="BE401" i="1"/>
  <c r="BF401" i="1"/>
  <c r="BE402" i="1"/>
  <c r="BF402" i="1"/>
  <c r="BE403" i="1"/>
  <c r="BF403" i="1"/>
  <c r="BE404" i="1"/>
  <c r="BF404" i="1"/>
  <c r="BE405" i="1"/>
  <c r="BF405" i="1"/>
  <c r="BE406" i="1"/>
  <c r="BF406" i="1"/>
  <c r="BE407" i="1"/>
  <c r="BF407" i="1"/>
  <c r="BE408" i="1"/>
  <c r="BF408" i="1"/>
  <c r="BE409" i="1"/>
  <c r="BF409" i="1"/>
  <c r="BE410" i="1"/>
  <c r="BF410" i="1"/>
  <c r="BE411" i="1"/>
  <c r="BF411" i="1"/>
  <c r="BE412" i="1"/>
  <c r="BF412" i="1"/>
  <c r="BE413" i="1"/>
  <c r="BF413" i="1"/>
  <c r="BE414" i="1"/>
  <c r="BF414" i="1"/>
  <c r="BE415" i="1"/>
  <c r="BF415" i="1"/>
  <c r="BE416" i="1"/>
  <c r="BF416" i="1"/>
  <c r="BE417" i="1"/>
  <c r="BF417" i="1"/>
  <c r="BE418" i="1"/>
  <c r="BF418" i="1"/>
  <c r="BE419" i="1"/>
  <c r="BF419" i="1"/>
  <c r="BE420" i="1"/>
  <c r="BF420" i="1"/>
  <c r="BE421" i="1"/>
  <c r="BF421" i="1"/>
  <c r="BE422" i="1"/>
  <c r="BF422" i="1"/>
  <c r="BE423" i="1"/>
  <c r="BF423" i="1"/>
  <c r="BE424" i="1"/>
  <c r="BF424" i="1"/>
  <c r="BE425" i="1"/>
  <c r="BF425" i="1"/>
  <c r="BE426" i="1"/>
  <c r="BF426" i="1"/>
  <c r="BE427" i="1"/>
  <c r="BF427" i="1"/>
  <c r="BE428" i="1"/>
  <c r="BF428" i="1"/>
  <c r="BE429" i="1"/>
  <c r="BF429" i="1"/>
  <c r="BE430" i="1"/>
  <c r="BF430" i="1"/>
  <c r="BE431" i="1"/>
  <c r="BF431" i="1"/>
  <c r="BE432" i="1"/>
  <c r="BF432" i="1"/>
  <c r="BE433" i="1"/>
  <c r="BF433" i="1"/>
  <c r="BE434" i="1"/>
  <c r="BF434" i="1"/>
  <c r="BE435" i="1"/>
  <c r="BF435" i="1"/>
  <c r="BE436" i="1"/>
  <c r="BF436" i="1"/>
  <c r="BE437" i="1"/>
  <c r="BF437" i="1"/>
  <c r="BE438" i="1"/>
  <c r="BF438" i="1"/>
  <c r="BE439" i="1"/>
  <c r="BF439" i="1"/>
  <c r="BE440" i="1"/>
  <c r="BF440" i="1"/>
  <c r="BE441" i="1"/>
  <c r="BF441" i="1"/>
  <c r="BE442" i="1"/>
  <c r="BF442" i="1"/>
  <c r="BE443" i="1"/>
  <c r="BF443" i="1"/>
  <c r="BE444" i="1"/>
  <c r="BF444" i="1"/>
  <c r="BE445" i="1"/>
  <c r="BF445" i="1"/>
  <c r="BE446" i="1"/>
  <c r="BF446" i="1"/>
  <c r="BE447" i="1"/>
  <c r="BF447" i="1"/>
  <c r="BE448" i="1"/>
  <c r="BF448" i="1"/>
  <c r="BE449" i="1"/>
  <c r="BF449" i="1"/>
  <c r="BE450" i="1"/>
  <c r="BF450" i="1"/>
  <c r="BE451" i="1"/>
  <c r="BF451" i="1"/>
  <c r="BE452" i="1"/>
  <c r="BF452" i="1"/>
  <c r="BE453" i="1"/>
  <c r="BF453" i="1"/>
  <c r="BE454" i="1"/>
  <c r="BF454" i="1"/>
  <c r="BE455" i="1"/>
  <c r="BF455" i="1"/>
  <c r="BE456" i="1"/>
  <c r="BF456" i="1"/>
  <c r="BE457" i="1"/>
  <c r="BF457" i="1"/>
  <c r="BE458" i="1"/>
  <c r="BF458" i="1"/>
  <c r="BE459" i="1"/>
  <c r="BF459" i="1"/>
  <c r="BE460" i="1"/>
  <c r="BF460" i="1"/>
  <c r="BE461" i="1"/>
  <c r="BF461" i="1"/>
  <c r="BE462" i="1"/>
  <c r="BF462" i="1"/>
  <c r="BE463" i="1"/>
  <c r="BF463" i="1"/>
  <c r="BE464" i="1"/>
  <c r="BF464" i="1"/>
  <c r="BE465" i="1"/>
  <c r="BF465" i="1"/>
  <c r="BE466" i="1"/>
  <c r="BF466" i="1"/>
  <c r="BE467" i="1"/>
  <c r="BF467" i="1"/>
  <c r="BE468" i="1"/>
  <c r="BF468" i="1"/>
  <c r="BE469" i="1"/>
  <c r="BF469" i="1"/>
  <c r="BE470" i="1"/>
  <c r="BF470" i="1"/>
  <c r="BE471" i="1"/>
  <c r="BF471" i="1"/>
  <c r="BE472" i="1"/>
  <c r="BF472" i="1"/>
  <c r="BE473" i="1"/>
  <c r="BF473" i="1"/>
  <c r="BE474" i="1"/>
  <c r="BF474" i="1"/>
  <c r="BE475" i="1"/>
  <c r="BF475" i="1"/>
  <c r="BE476" i="1"/>
  <c r="BF476" i="1"/>
  <c r="BE477" i="1"/>
  <c r="BF477" i="1"/>
  <c r="BE478" i="1"/>
  <c r="BF478" i="1"/>
  <c r="BE479" i="1"/>
  <c r="BF479" i="1"/>
  <c r="BE480" i="1"/>
  <c r="BF480" i="1"/>
  <c r="BE481" i="1"/>
  <c r="BF481" i="1"/>
  <c r="BE482" i="1"/>
  <c r="BF482" i="1"/>
  <c r="BE483" i="1"/>
  <c r="BF483" i="1"/>
  <c r="BE484" i="1"/>
  <c r="BF484" i="1"/>
  <c r="BE485" i="1"/>
  <c r="BF485" i="1"/>
  <c r="BE486" i="1"/>
  <c r="BF486" i="1"/>
  <c r="BE487" i="1"/>
  <c r="BF487" i="1"/>
  <c r="BE488" i="1"/>
  <c r="BF488" i="1"/>
  <c r="BE489" i="1"/>
  <c r="BF489" i="1"/>
  <c r="BE490" i="1"/>
  <c r="BF490" i="1"/>
  <c r="BE491" i="1"/>
  <c r="BF491" i="1"/>
  <c r="BE492" i="1"/>
  <c r="BF492" i="1"/>
  <c r="BE493" i="1"/>
  <c r="BF493" i="1"/>
  <c r="BE494" i="1"/>
  <c r="BF494" i="1"/>
  <c r="BE495" i="1"/>
  <c r="BF495" i="1"/>
  <c r="BE496" i="1"/>
  <c r="BF496" i="1"/>
  <c r="BE497" i="1"/>
  <c r="BF497" i="1"/>
  <c r="BE498" i="1"/>
  <c r="BF498" i="1"/>
  <c r="BE499" i="1"/>
  <c r="BF499" i="1"/>
  <c r="BE500" i="1"/>
  <c r="BF500" i="1"/>
  <c r="BE501" i="1"/>
  <c r="BF501" i="1"/>
  <c r="BE502" i="1"/>
  <c r="BF502" i="1"/>
  <c r="BE503" i="1"/>
  <c r="BF503" i="1"/>
  <c r="BE504" i="1"/>
  <c r="BF504" i="1"/>
  <c r="BE505" i="1"/>
  <c r="BF505" i="1"/>
  <c r="BE506" i="1"/>
  <c r="BF506" i="1"/>
  <c r="BE507" i="1"/>
  <c r="BF507" i="1"/>
  <c r="BE508" i="1"/>
  <c r="BF508" i="1"/>
  <c r="BE509" i="1"/>
  <c r="BF509" i="1"/>
  <c r="BE510" i="1"/>
  <c r="BF510" i="1"/>
  <c r="BE511" i="1"/>
  <c r="BF511" i="1"/>
  <c r="BE512" i="1"/>
  <c r="BF512" i="1"/>
  <c r="BE513" i="1"/>
  <c r="BF513" i="1"/>
  <c r="BE514" i="1"/>
  <c r="BF514" i="1"/>
  <c r="BE515" i="1"/>
  <c r="BF515" i="1"/>
  <c r="BE516" i="1"/>
  <c r="BF516" i="1"/>
  <c r="BE517" i="1"/>
  <c r="BF517" i="1"/>
  <c r="BE518" i="1"/>
  <c r="BF518" i="1"/>
  <c r="BE519" i="1"/>
  <c r="BF519" i="1"/>
  <c r="BE520" i="1"/>
  <c r="BF520" i="1"/>
  <c r="BE521" i="1"/>
  <c r="BF521" i="1"/>
  <c r="BE522" i="1"/>
  <c r="BF522" i="1"/>
  <c r="BE523" i="1"/>
  <c r="BF523" i="1"/>
  <c r="BE524" i="1"/>
  <c r="BF524" i="1"/>
  <c r="BE525" i="1"/>
  <c r="BF525" i="1"/>
  <c r="BE526" i="1"/>
  <c r="BF526" i="1"/>
  <c r="BE527" i="1"/>
  <c r="BF527" i="1"/>
  <c r="BE528" i="1"/>
  <c r="BF528" i="1"/>
  <c r="BE529" i="1"/>
  <c r="BF529" i="1"/>
  <c r="BE530" i="1"/>
  <c r="BF530" i="1"/>
  <c r="BE531" i="1"/>
  <c r="BF531" i="1"/>
  <c r="BE532" i="1"/>
  <c r="BF532" i="1"/>
  <c r="BE533" i="1"/>
  <c r="BF533" i="1"/>
  <c r="BE534" i="1"/>
  <c r="BF534" i="1"/>
  <c r="BE535" i="1"/>
  <c r="BF535" i="1"/>
  <c r="BE536" i="1"/>
  <c r="BF536" i="1"/>
  <c r="BE537" i="1"/>
  <c r="BF537" i="1"/>
  <c r="BE538" i="1"/>
  <c r="BF538" i="1"/>
  <c r="BE539" i="1"/>
  <c r="BF539" i="1"/>
  <c r="BE540" i="1"/>
  <c r="BF540" i="1"/>
  <c r="BE541" i="1"/>
  <c r="BF541" i="1"/>
  <c r="BE542" i="1"/>
  <c r="BF542" i="1"/>
  <c r="BE543" i="1"/>
  <c r="BF543" i="1"/>
  <c r="BE544" i="1"/>
  <c r="BF544" i="1"/>
  <c r="BE545" i="1"/>
  <c r="BF545" i="1"/>
  <c r="BE546" i="1"/>
  <c r="BF546" i="1"/>
  <c r="BE547" i="1"/>
  <c r="BF547" i="1"/>
  <c r="BE548" i="1"/>
  <c r="BF548" i="1"/>
  <c r="BE549" i="1"/>
  <c r="BF549" i="1"/>
  <c r="BE550" i="1"/>
  <c r="BF550" i="1"/>
  <c r="BE551" i="1"/>
  <c r="BF551" i="1"/>
  <c r="BE552" i="1"/>
  <c r="BF552" i="1"/>
  <c r="BE553" i="1"/>
  <c r="BF553" i="1"/>
  <c r="BE554" i="1"/>
  <c r="BF554" i="1"/>
  <c r="BE555" i="1"/>
  <c r="BF555" i="1"/>
  <c r="BE556" i="1"/>
  <c r="BF556" i="1"/>
  <c r="BE557" i="1"/>
  <c r="BF557" i="1"/>
  <c r="BE558" i="1"/>
  <c r="BF558" i="1"/>
  <c r="BE559" i="1"/>
  <c r="BF559" i="1"/>
  <c r="BE560" i="1"/>
  <c r="BF560" i="1"/>
  <c r="BE561" i="1"/>
  <c r="BF561" i="1"/>
  <c r="BE562" i="1"/>
  <c r="BF562" i="1"/>
  <c r="BE563" i="1"/>
  <c r="BF563" i="1"/>
  <c r="BE564" i="1"/>
  <c r="BF564" i="1"/>
  <c r="BE565" i="1"/>
  <c r="BF565" i="1"/>
  <c r="BE566" i="1"/>
  <c r="BF566" i="1"/>
  <c r="BE567" i="1"/>
  <c r="BF567" i="1"/>
  <c r="BE568" i="1"/>
  <c r="BF568" i="1"/>
  <c r="BE569" i="1"/>
  <c r="BF569" i="1"/>
  <c r="BE570" i="1"/>
  <c r="BF570" i="1"/>
  <c r="BE571" i="1"/>
  <c r="BF571" i="1"/>
  <c r="BE572" i="1"/>
  <c r="BF572" i="1"/>
  <c r="BE573" i="1"/>
  <c r="BF573" i="1"/>
  <c r="BE574" i="1"/>
  <c r="BF574" i="1"/>
  <c r="BE575" i="1"/>
  <c r="BF575" i="1"/>
  <c r="BE576" i="1"/>
  <c r="BF576" i="1"/>
  <c r="BE577" i="1"/>
  <c r="BF577" i="1"/>
  <c r="BE578" i="1"/>
  <c r="BF578" i="1"/>
  <c r="BE579" i="1"/>
  <c r="BF579" i="1"/>
  <c r="BE580" i="1"/>
  <c r="BF580" i="1"/>
  <c r="BE581" i="1"/>
  <c r="BF581" i="1"/>
  <c r="BE582" i="1"/>
  <c r="BF582" i="1"/>
  <c r="BE355" i="1" l="1"/>
  <c r="BF355" i="1"/>
  <c r="BE356" i="1"/>
  <c r="BF356" i="1"/>
  <c r="BE357" i="1"/>
  <c r="BF357" i="1"/>
  <c r="BE358" i="1"/>
  <c r="BF358" i="1"/>
  <c r="BE359" i="1"/>
  <c r="BF359" i="1"/>
  <c r="BE360" i="1"/>
  <c r="BF360" i="1"/>
  <c r="BE361" i="1"/>
  <c r="BF361" i="1"/>
  <c r="BE362" i="1"/>
  <c r="BF362" i="1"/>
  <c r="BE363" i="1"/>
  <c r="BF363" i="1"/>
  <c r="BE364" i="1"/>
  <c r="BF364" i="1"/>
  <c r="BE365" i="1"/>
  <c r="BF365" i="1"/>
  <c r="BE366" i="1"/>
  <c r="BF366" i="1"/>
  <c r="BE367" i="1"/>
  <c r="BF367" i="1"/>
  <c r="BE368" i="1"/>
  <c r="BF368" i="1"/>
  <c r="BE369" i="1"/>
  <c r="BF369" i="1"/>
  <c r="BE370" i="1"/>
  <c r="BF370" i="1"/>
  <c r="BE371" i="1"/>
  <c r="BF371" i="1"/>
  <c r="BE372" i="1"/>
  <c r="BF372" i="1"/>
  <c r="BE373" i="1"/>
  <c r="BF373" i="1"/>
  <c r="BE374" i="1"/>
  <c r="BF374" i="1"/>
  <c r="BE375" i="1"/>
  <c r="BF375" i="1"/>
  <c r="BE376" i="1"/>
  <c r="BF376" i="1"/>
  <c r="BE377" i="1"/>
  <c r="BF377" i="1"/>
  <c r="BE378" i="1"/>
  <c r="BF378" i="1"/>
  <c r="BE379" i="1"/>
  <c r="BF379" i="1"/>
  <c r="BE380" i="1"/>
  <c r="BF380" i="1"/>
  <c r="BE381" i="1"/>
  <c r="BF381" i="1"/>
  <c r="BE382" i="1"/>
  <c r="BF382" i="1"/>
  <c r="BE383" i="1"/>
  <c r="BF383" i="1"/>
  <c r="BE384" i="1"/>
  <c r="BF384" i="1"/>
  <c r="BE385" i="1"/>
  <c r="BF385" i="1"/>
  <c r="BE386" i="1"/>
  <c r="BF386" i="1"/>
  <c r="BE387" i="1"/>
  <c r="BF387" i="1"/>
  <c r="BE388" i="1"/>
  <c r="BF388" i="1"/>
  <c r="BE389" i="1"/>
  <c r="BF389" i="1"/>
  <c r="BE390" i="1"/>
  <c r="BF390" i="1"/>
  <c r="BE391" i="1"/>
  <c r="BF391" i="1"/>
  <c r="BE392" i="1"/>
  <c r="BF392" i="1"/>
  <c r="BE393" i="1"/>
  <c r="BF393" i="1"/>
  <c r="BE394" i="1"/>
  <c r="BF394" i="1"/>
  <c r="BE395" i="1"/>
  <c r="BF395" i="1"/>
  <c r="BE396" i="1"/>
  <c r="BF396" i="1"/>
  <c r="BE397" i="1"/>
  <c r="BF397" i="1"/>
  <c r="BE398" i="1"/>
  <c r="BF398" i="1"/>
  <c r="N4" i="1" l="1"/>
  <c r="BE124" i="1"/>
  <c r="BF124" i="1"/>
  <c r="BE125" i="1"/>
  <c r="BF125" i="1"/>
  <c r="BE126" i="1"/>
  <c r="BF126" i="1"/>
  <c r="BE127" i="1"/>
  <c r="BF127" i="1"/>
  <c r="BE128" i="1"/>
  <c r="BF128" i="1"/>
  <c r="BE129" i="1"/>
  <c r="BF129" i="1"/>
  <c r="BE130" i="1"/>
  <c r="BF130" i="1"/>
  <c r="BE131" i="1"/>
  <c r="BF131" i="1"/>
  <c r="BE132" i="1"/>
  <c r="BF132" i="1"/>
  <c r="BE133" i="1"/>
  <c r="BF133" i="1"/>
  <c r="BE134" i="1"/>
  <c r="BF134" i="1"/>
  <c r="BE135" i="1"/>
  <c r="BF135" i="1"/>
  <c r="BE136" i="1"/>
  <c r="BF136" i="1"/>
  <c r="BE137" i="1"/>
  <c r="BF137" i="1"/>
  <c r="BE138" i="1"/>
  <c r="BF138" i="1"/>
  <c r="BE139" i="1"/>
  <c r="BF139" i="1"/>
  <c r="BE140" i="1"/>
  <c r="BF140" i="1"/>
  <c r="BE141" i="1"/>
  <c r="BF141" i="1"/>
  <c r="BE142" i="1"/>
  <c r="BF142" i="1"/>
  <c r="BE143" i="1"/>
  <c r="BF143" i="1"/>
  <c r="BE144" i="1"/>
  <c r="BF144" i="1"/>
  <c r="BE145" i="1"/>
  <c r="BF145" i="1"/>
  <c r="BE146" i="1"/>
  <c r="BF146" i="1"/>
  <c r="BE147" i="1"/>
  <c r="BF147" i="1"/>
  <c r="BE148" i="1"/>
  <c r="BF148" i="1"/>
  <c r="BE149" i="1"/>
  <c r="BF149" i="1"/>
  <c r="BE150" i="1"/>
  <c r="BF150" i="1"/>
  <c r="BE151" i="1"/>
  <c r="BF151" i="1"/>
  <c r="BE152" i="1"/>
  <c r="BF152" i="1"/>
  <c r="BE153" i="1"/>
  <c r="BF153" i="1"/>
  <c r="BE154" i="1"/>
  <c r="BF154" i="1"/>
  <c r="BE155" i="1"/>
  <c r="BF155" i="1"/>
  <c r="BE156" i="1"/>
  <c r="BF156" i="1"/>
  <c r="BE157" i="1"/>
  <c r="BF157" i="1"/>
  <c r="BE158" i="1"/>
  <c r="BF158" i="1"/>
  <c r="BE159" i="1"/>
  <c r="BF159" i="1"/>
  <c r="BE160" i="1"/>
  <c r="BF160" i="1"/>
  <c r="BE161" i="1"/>
  <c r="BF161" i="1"/>
  <c r="BE162" i="1"/>
  <c r="BF162" i="1"/>
  <c r="BE163" i="1"/>
  <c r="BF163" i="1"/>
  <c r="BE164" i="1"/>
  <c r="BF164" i="1"/>
  <c r="BE165" i="1"/>
  <c r="BF165" i="1"/>
  <c r="BE166" i="1"/>
  <c r="BF166" i="1"/>
  <c r="BE167" i="1"/>
  <c r="BF167" i="1"/>
  <c r="BE168" i="1"/>
  <c r="BF168" i="1"/>
  <c r="BE169" i="1"/>
  <c r="BF169" i="1"/>
  <c r="BE170" i="1"/>
  <c r="BF170" i="1"/>
  <c r="BE171" i="1"/>
  <c r="BF171" i="1"/>
  <c r="BE172" i="1"/>
  <c r="BF172" i="1"/>
  <c r="BE173" i="1"/>
  <c r="BF173" i="1"/>
  <c r="BE174" i="1"/>
  <c r="BF174" i="1"/>
  <c r="BE175" i="1"/>
  <c r="BF175" i="1"/>
  <c r="BE176" i="1"/>
  <c r="BF176" i="1"/>
  <c r="BE177" i="1"/>
  <c r="BF177" i="1"/>
  <c r="BE178" i="1"/>
  <c r="BF178" i="1"/>
  <c r="BE179" i="1"/>
  <c r="BF179" i="1"/>
  <c r="BE180" i="1"/>
  <c r="BF180" i="1"/>
  <c r="BE181" i="1"/>
  <c r="BF181" i="1"/>
  <c r="BE182" i="1"/>
  <c r="BF182" i="1"/>
  <c r="BE183" i="1"/>
  <c r="BF183" i="1"/>
  <c r="BE184" i="1"/>
  <c r="BF184" i="1"/>
  <c r="BE185" i="1"/>
  <c r="BF185" i="1"/>
  <c r="BE186" i="1"/>
  <c r="BF186" i="1"/>
  <c r="BE187" i="1"/>
  <c r="BF187" i="1"/>
  <c r="BE188" i="1"/>
  <c r="BF188" i="1"/>
  <c r="BE189" i="1"/>
  <c r="BF189" i="1"/>
  <c r="BE190" i="1"/>
  <c r="BF190" i="1"/>
  <c r="BE191" i="1"/>
  <c r="BF191" i="1"/>
  <c r="BE192" i="1"/>
  <c r="BF192" i="1"/>
  <c r="BE193" i="1"/>
  <c r="BF193" i="1"/>
  <c r="BE194" i="1"/>
  <c r="BF194" i="1"/>
  <c r="BE195" i="1"/>
  <c r="BF195" i="1"/>
  <c r="BE196" i="1"/>
  <c r="BF196" i="1"/>
  <c r="BE197" i="1"/>
  <c r="BF197" i="1"/>
  <c r="BE198" i="1"/>
  <c r="BF198" i="1"/>
  <c r="BE199" i="1"/>
  <c r="BF199" i="1"/>
  <c r="BE200" i="1"/>
  <c r="BF200" i="1"/>
  <c r="BE201" i="1"/>
  <c r="BF201" i="1"/>
  <c r="BE202" i="1"/>
  <c r="BF202" i="1"/>
  <c r="BE203" i="1"/>
  <c r="BF203" i="1"/>
  <c r="BE204" i="1"/>
  <c r="BF204" i="1"/>
  <c r="BE205" i="1"/>
  <c r="BF205" i="1"/>
  <c r="BE206" i="1"/>
  <c r="BF206" i="1"/>
  <c r="BE207" i="1"/>
  <c r="BF207" i="1"/>
  <c r="BE208" i="1"/>
  <c r="BF208" i="1"/>
  <c r="BE209" i="1"/>
  <c r="BF209" i="1"/>
  <c r="BE210" i="1"/>
  <c r="BF210" i="1"/>
  <c r="BE211" i="1"/>
  <c r="BF211" i="1"/>
  <c r="BE212" i="1"/>
  <c r="BF212" i="1"/>
  <c r="BE213" i="1"/>
  <c r="BF213" i="1"/>
  <c r="BE214" i="1"/>
  <c r="BF214" i="1"/>
  <c r="BE215" i="1"/>
  <c r="BF215" i="1"/>
  <c r="BE216" i="1"/>
  <c r="BF216" i="1"/>
  <c r="BE217" i="1"/>
  <c r="BF217" i="1"/>
  <c r="BE218" i="1"/>
  <c r="BF218" i="1"/>
  <c r="BE219" i="1"/>
  <c r="BF219" i="1"/>
  <c r="BE220" i="1"/>
  <c r="BF220" i="1"/>
  <c r="BE221" i="1"/>
  <c r="BF221" i="1"/>
  <c r="BE222" i="1"/>
  <c r="BF222" i="1"/>
  <c r="BE223" i="1"/>
  <c r="BF223" i="1"/>
  <c r="BE224" i="1"/>
  <c r="BF224" i="1"/>
  <c r="BE225" i="1"/>
  <c r="BF225" i="1"/>
  <c r="BE226" i="1"/>
  <c r="BF226" i="1"/>
  <c r="BE227" i="1"/>
  <c r="BF227" i="1"/>
  <c r="BE228" i="1"/>
  <c r="BF228" i="1"/>
  <c r="BE229" i="1"/>
  <c r="BF229" i="1"/>
  <c r="BE230" i="1"/>
  <c r="BF230" i="1"/>
  <c r="BE231" i="1"/>
  <c r="BF231" i="1"/>
  <c r="BE232" i="1"/>
  <c r="BF232" i="1"/>
  <c r="BE233" i="1"/>
  <c r="BF233" i="1"/>
  <c r="BE234" i="1"/>
  <c r="BF234" i="1"/>
  <c r="BE235" i="1"/>
  <c r="BF235" i="1"/>
  <c r="BE236" i="1"/>
  <c r="BF236" i="1"/>
  <c r="BE237" i="1"/>
  <c r="BF237" i="1"/>
  <c r="BE238" i="1"/>
  <c r="BF238" i="1"/>
  <c r="BE239" i="1"/>
  <c r="BF239" i="1"/>
  <c r="BE240" i="1"/>
  <c r="BF240" i="1"/>
  <c r="BE241" i="1"/>
  <c r="BF241" i="1"/>
  <c r="BE242" i="1"/>
  <c r="BF242" i="1"/>
  <c r="BE243" i="1"/>
  <c r="BF243" i="1"/>
  <c r="BE244" i="1"/>
  <c r="BF244" i="1"/>
  <c r="BE245" i="1"/>
  <c r="BF245" i="1"/>
  <c r="BE246" i="1"/>
  <c r="BF246" i="1"/>
  <c r="BE247" i="1"/>
  <c r="BF247" i="1"/>
  <c r="BE248" i="1"/>
  <c r="BF248" i="1"/>
  <c r="BE249" i="1"/>
  <c r="BF249" i="1"/>
  <c r="BE250" i="1"/>
  <c r="BF250" i="1"/>
  <c r="BE251" i="1"/>
  <c r="BF251" i="1"/>
  <c r="BE252" i="1"/>
  <c r="BF252" i="1"/>
  <c r="BE253" i="1"/>
  <c r="BF253" i="1"/>
  <c r="BE254" i="1"/>
  <c r="BF254" i="1"/>
  <c r="BE255" i="1"/>
  <c r="BF255" i="1"/>
  <c r="BE256" i="1"/>
  <c r="BF256" i="1"/>
  <c r="BE257" i="1"/>
  <c r="BF257" i="1"/>
  <c r="BE258" i="1"/>
  <c r="BF258" i="1"/>
  <c r="BE259" i="1"/>
  <c r="BF259" i="1"/>
  <c r="BE260" i="1"/>
  <c r="BF260" i="1"/>
  <c r="BE261" i="1"/>
  <c r="BF261" i="1"/>
  <c r="BE262" i="1"/>
  <c r="BF262" i="1"/>
  <c r="BE263" i="1"/>
  <c r="BF263" i="1"/>
  <c r="BE264" i="1"/>
  <c r="BF264" i="1"/>
  <c r="BE265" i="1"/>
  <c r="BF265" i="1"/>
  <c r="BE266" i="1"/>
  <c r="BF266" i="1"/>
  <c r="BE267" i="1"/>
  <c r="BF267" i="1"/>
  <c r="BE268" i="1"/>
  <c r="BF268" i="1"/>
  <c r="BE269" i="1"/>
  <c r="BF269" i="1"/>
  <c r="BE270" i="1"/>
  <c r="BF270" i="1"/>
  <c r="BE271" i="1"/>
  <c r="BF271" i="1"/>
  <c r="BE272" i="1"/>
  <c r="BF272" i="1"/>
  <c r="BE273" i="1"/>
  <c r="BF273" i="1"/>
  <c r="BE274" i="1"/>
  <c r="BF274" i="1"/>
  <c r="BE275" i="1"/>
  <c r="BF275" i="1"/>
  <c r="BE276" i="1"/>
  <c r="BF276" i="1"/>
  <c r="BE277" i="1"/>
  <c r="BF277" i="1"/>
  <c r="BE278" i="1"/>
  <c r="BF278" i="1"/>
  <c r="BE279" i="1"/>
  <c r="BF279" i="1"/>
  <c r="BE280" i="1"/>
  <c r="BF280" i="1"/>
  <c r="BE281" i="1"/>
  <c r="BF281" i="1"/>
  <c r="BE282" i="1"/>
  <c r="BF282" i="1"/>
  <c r="BE283" i="1"/>
  <c r="BF283" i="1"/>
  <c r="BE284" i="1"/>
  <c r="BF284" i="1"/>
  <c r="BE285" i="1"/>
  <c r="BF285" i="1"/>
  <c r="BE286" i="1"/>
  <c r="BF286" i="1"/>
  <c r="BE287" i="1"/>
  <c r="BF287" i="1"/>
  <c r="BE288" i="1"/>
  <c r="BF288" i="1"/>
  <c r="BE289" i="1"/>
  <c r="BF289" i="1"/>
  <c r="BE290" i="1"/>
  <c r="BF290" i="1"/>
  <c r="BE291" i="1"/>
  <c r="BF291" i="1"/>
  <c r="BE292" i="1"/>
  <c r="BF292" i="1"/>
  <c r="BE293" i="1"/>
  <c r="BF293" i="1"/>
  <c r="BE294" i="1"/>
  <c r="BF294" i="1"/>
  <c r="BE295" i="1"/>
  <c r="BF295" i="1"/>
  <c r="BE296" i="1"/>
  <c r="BF296" i="1"/>
  <c r="BE297" i="1"/>
  <c r="BF297" i="1"/>
  <c r="BE298" i="1"/>
  <c r="BF298" i="1"/>
  <c r="BE299" i="1"/>
  <c r="BF299" i="1"/>
  <c r="BE300" i="1"/>
  <c r="BF300" i="1"/>
  <c r="BE301" i="1"/>
  <c r="BF301" i="1"/>
  <c r="BE302" i="1"/>
  <c r="BF302" i="1"/>
  <c r="BE303" i="1"/>
  <c r="BF303" i="1"/>
  <c r="BE304" i="1"/>
  <c r="BF304" i="1"/>
  <c r="BE305" i="1"/>
  <c r="BF305" i="1"/>
  <c r="BE306" i="1"/>
  <c r="BF306" i="1"/>
  <c r="BE307" i="1"/>
  <c r="BF307" i="1"/>
  <c r="BE308" i="1"/>
  <c r="BF308" i="1"/>
  <c r="BE309" i="1"/>
  <c r="BF309" i="1"/>
  <c r="BE310" i="1"/>
  <c r="BF310" i="1"/>
  <c r="BE311" i="1"/>
  <c r="BF311" i="1"/>
  <c r="BE312" i="1"/>
  <c r="BF312" i="1"/>
  <c r="BE313" i="1"/>
  <c r="BF313" i="1"/>
  <c r="BE314" i="1"/>
  <c r="BF314" i="1"/>
  <c r="BE315" i="1"/>
  <c r="BF315" i="1"/>
  <c r="BE316" i="1"/>
  <c r="BF316" i="1"/>
  <c r="BE317" i="1"/>
  <c r="BF317" i="1"/>
  <c r="BE318" i="1"/>
  <c r="BF318" i="1"/>
  <c r="BE319" i="1"/>
  <c r="BF319" i="1"/>
  <c r="BE320" i="1"/>
  <c r="BF320" i="1"/>
  <c r="BE321" i="1"/>
  <c r="BF321" i="1"/>
  <c r="BE322" i="1"/>
  <c r="BF322" i="1"/>
  <c r="BE323" i="1"/>
  <c r="BF323" i="1"/>
  <c r="BE324" i="1"/>
  <c r="BF324" i="1"/>
  <c r="BE325" i="1"/>
  <c r="BF325" i="1"/>
  <c r="BE326" i="1"/>
  <c r="BF326" i="1"/>
  <c r="BE327" i="1"/>
  <c r="BF327" i="1"/>
  <c r="BE328" i="1"/>
  <c r="BF328" i="1"/>
  <c r="BE329" i="1"/>
  <c r="BF329" i="1"/>
  <c r="BE330" i="1"/>
  <c r="BF330" i="1"/>
  <c r="BE331" i="1"/>
  <c r="BF331" i="1"/>
  <c r="BE332" i="1"/>
  <c r="BF332" i="1"/>
  <c r="BE333" i="1"/>
  <c r="BF333" i="1"/>
  <c r="BE334" i="1"/>
  <c r="BF334" i="1"/>
  <c r="BE335" i="1"/>
  <c r="BF335" i="1"/>
  <c r="BE336" i="1"/>
  <c r="BF336" i="1"/>
  <c r="BE337" i="1"/>
  <c r="BF337" i="1"/>
  <c r="BE338" i="1"/>
  <c r="BF338" i="1"/>
  <c r="BE339" i="1"/>
  <c r="BF339" i="1"/>
  <c r="BE340" i="1"/>
  <c r="BF340" i="1"/>
  <c r="BE341" i="1"/>
  <c r="BF341" i="1"/>
  <c r="BE342" i="1"/>
  <c r="BF342" i="1"/>
  <c r="BE343" i="1"/>
  <c r="BF343" i="1"/>
  <c r="BE344" i="1"/>
  <c r="BF344" i="1"/>
  <c r="BE345" i="1"/>
  <c r="BF345" i="1"/>
  <c r="BE346" i="1"/>
  <c r="BF346" i="1"/>
  <c r="BE347" i="1"/>
  <c r="BF347" i="1"/>
  <c r="BE348" i="1"/>
  <c r="BF348" i="1"/>
  <c r="BE349" i="1"/>
  <c r="BF349" i="1"/>
  <c r="BE350" i="1"/>
  <c r="BF350" i="1"/>
  <c r="BE351" i="1"/>
  <c r="BF351" i="1"/>
  <c r="BE352" i="1"/>
  <c r="BF352" i="1"/>
  <c r="BE353" i="1"/>
  <c r="BF353" i="1"/>
  <c r="BE354" i="1"/>
  <c r="BF354" i="1"/>
  <c r="BE105" i="1" l="1"/>
  <c r="BF105" i="1"/>
  <c r="BE106" i="1"/>
  <c r="BF106" i="1"/>
  <c r="BE107" i="1"/>
  <c r="BF107" i="1"/>
  <c r="BE108" i="1"/>
  <c r="BF108" i="1"/>
  <c r="BE109" i="1"/>
  <c r="BF109" i="1"/>
  <c r="BE110" i="1"/>
  <c r="BF110" i="1"/>
  <c r="BE111" i="1"/>
  <c r="BF111" i="1"/>
  <c r="BE112" i="1"/>
  <c r="BF112" i="1"/>
  <c r="BE113" i="1"/>
  <c r="BF113" i="1"/>
  <c r="BE114" i="1"/>
  <c r="BF114" i="1"/>
  <c r="BE115" i="1"/>
  <c r="BF115" i="1"/>
  <c r="BE116" i="1"/>
  <c r="BF116" i="1"/>
  <c r="BE117" i="1"/>
  <c r="BF117" i="1"/>
  <c r="BE118" i="1"/>
  <c r="BF118" i="1"/>
  <c r="BE119" i="1"/>
  <c r="BF119" i="1"/>
  <c r="BE120" i="1"/>
  <c r="BF120" i="1"/>
  <c r="BE121" i="1"/>
  <c r="BF121" i="1"/>
  <c r="BE122" i="1"/>
  <c r="BF122" i="1"/>
  <c r="BE123" i="1"/>
  <c r="BF123" i="1"/>
  <c r="BF11" i="1" l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2" i="1"/>
  <c r="BF71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" i="1" l="1"/>
  <c r="C6" i="1" l="1"/>
  <c r="BE94" i="1"/>
  <c r="BE93" i="1"/>
  <c r="BE92" i="1"/>
  <c r="BE91" i="1"/>
  <c r="BE90" i="1"/>
  <c r="BE95" i="1"/>
  <c r="BE89" i="1"/>
  <c r="BE88" i="1"/>
  <c r="BE87" i="1"/>
  <c r="BE86" i="1"/>
  <c r="BE79" i="1"/>
  <c r="BE78" i="1"/>
  <c r="BE77" i="1"/>
  <c r="BE80" i="1"/>
  <c r="BE81" i="1"/>
  <c r="BE82" i="1"/>
  <c r="BE54" i="1"/>
  <c r="BE38" i="1"/>
  <c r="BE22" i="1"/>
  <c r="BE21" i="1"/>
  <c r="BE53" i="1" l="1"/>
  <c r="BE34" i="1"/>
  <c r="BE33" i="1"/>
  <c r="BE32" i="1"/>
  <c r="BE31" i="1"/>
  <c r="BE104" i="1" l="1"/>
  <c r="BE52" i="1"/>
  <c r="BE12" i="1" l="1"/>
  <c r="BE13" i="1"/>
  <c r="BE14" i="1"/>
  <c r="BE15" i="1"/>
  <c r="BE16" i="1"/>
  <c r="BE17" i="1"/>
  <c r="BE18" i="1"/>
  <c r="BE19" i="1"/>
  <c r="BE20" i="1"/>
  <c r="BE23" i="1"/>
  <c r="BE24" i="1"/>
  <c r="BE25" i="1"/>
  <c r="BE26" i="1"/>
  <c r="BE27" i="1"/>
  <c r="BE28" i="1"/>
  <c r="BE29" i="1"/>
  <c r="BE30" i="1"/>
  <c r="BE35" i="1"/>
  <c r="BE36" i="1"/>
  <c r="BE37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2" i="1"/>
  <c r="BE71" i="1"/>
  <c r="BE73" i="1"/>
  <c r="BE74" i="1"/>
  <c r="BE75" i="1"/>
  <c r="BE76" i="1"/>
  <c r="BE83" i="1"/>
  <c r="BE84" i="1"/>
  <c r="BE85" i="1"/>
  <c r="BE96" i="1"/>
  <c r="BE97" i="1"/>
  <c r="BE98" i="1"/>
  <c r="BE99" i="1"/>
  <c r="BE100" i="1"/>
  <c r="BE101" i="1"/>
  <c r="BE102" i="1"/>
  <c r="BE103" i="1"/>
  <c r="BE11" i="1" l="1"/>
  <c r="BE10" i="1"/>
</calcChain>
</file>

<file path=xl/sharedStrings.xml><?xml version="1.0" encoding="utf-8"?>
<sst xmlns="http://schemas.openxmlformats.org/spreadsheetml/2006/main" count="5562" uniqueCount="99">
  <si>
    <t xml:space="preserve">FIBER CORE ASSIGNMENT </t>
  </si>
  <si>
    <t>Region</t>
  </si>
  <si>
    <t>:</t>
  </si>
  <si>
    <t xml:space="preserve"> </t>
  </si>
  <si>
    <t>FDT TYPE</t>
  </si>
  <si>
    <t>OLT / Feeder Line</t>
  </si>
  <si>
    <t>HP / Construction type</t>
  </si>
  <si>
    <t>Cluster Name</t>
  </si>
  <si>
    <t>Distance From OLT</t>
  </si>
  <si>
    <t>FDT ID</t>
  </si>
  <si>
    <t xml:space="preserve">  </t>
  </si>
  <si>
    <t>COORDINATE FDT</t>
  </si>
  <si>
    <t>FDT Tray (Front)</t>
  </si>
  <si>
    <t>FDT 
Port</t>
  </si>
  <si>
    <t>Line</t>
  </si>
  <si>
    <t>Capacity</t>
  </si>
  <si>
    <t>Tube Colour</t>
  </si>
  <si>
    <t>Core Number</t>
  </si>
  <si>
    <t>FAT ID</t>
  </si>
  <si>
    <t>FAT Port</t>
  </si>
  <si>
    <t>Pole ID</t>
  </si>
  <si>
    <t>Pole Latitude</t>
  </si>
  <si>
    <t>Pole Longitude</t>
  </si>
  <si>
    <t>Province</t>
  </si>
  <si>
    <t>regency_city</t>
  </si>
  <si>
    <t>district</t>
  </si>
  <si>
    <t>subdistrict</t>
  </si>
  <si>
    <t>postalcode</t>
  </si>
  <si>
    <t>Roll_Out_ID</t>
  </si>
  <si>
    <t>acquisition_class</t>
  </si>
  <si>
    <t>acquisition_tier</t>
  </si>
  <si>
    <t>competition</t>
  </si>
  <si>
    <t>project_id</t>
  </si>
  <si>
    <t>Area</t>
  </si>
  <si>
    <t>Complex_name</t>
  </si>
  <si>
    <t>Clustername</t>
  </si>
  <si>
    <t>Commercial_name</t>
  </si>
  <si>
    <t>Rw</t>
  </si>
  <si>
    <t>Rt</t>
  </si>
  <si>
    <t>address_prefix</t>
  </si>
  <si>
    <t>street</t>
  </si>
  <si>
    <t>address_suffix</t>
  </si>
  <si>
    <t>sub_address_prefix</t>
  </si>
  <si>
    <t>sub_address</t>
  </si>
  <si>
    <t>sub_address_suffix</t>
  </si>
  <si>
    <t>block</t>
  </si>
  <si>
    <t>Homenumber</t>
  </si>
  <si>
    <t>dwelling_type</t>
  </si>
  <si>
    <t>building_type</t>
  </si>
  <si>
    <t>building_property_name</t>
  </si>
  <si>
    <t>building_property_location</t>
  </si>
  <si>
    <t>floor</t>
  </si>
  <si>
    <t>unit</t>
  </si>
  <si>
    <t>homepass_source</t>
  </si>
  <si>
    <t>oltcode</t>
  </si>
  <si>
    <t>fdtcode</t>
  </si>
  <si>
    <t>fatcode</t>
  </si>
  <si>
    <t>RFSDate</t>
  </si>
  <si>
    <t>Latitude_homepass</t>
  </si>
  <si>
    <t>Longitude_homepass</t>
  </si>
  <si>
    <t>residential_service_ready</t>
  </si>
  <si>
    <t>sme_service_ready</t>
  </si>
  <si>
    <t>enterprise_service_ready</t>
  </si>
  <si>
    <t>installation</t>
  </si>
  <si>
    <t xml:space="preserve"> availability</t>
  </si>
  <si>
    <t>network_presence</t>
  </si>
  <si>
    <t>wallplate_installation</t>
  </si>
  <si>
    <t>mandatory</t>
  </si>
  <si>
    <t>emr part</t>
  </si>
  <si>
    <t>T</t>
  </si>
  <si>
    <t>F</t>
  </si>
  <si>
    <t>AE</t>
  </si>
  <si>
    <t>type</t>
  </si>
  <si>
    <t>AERIAL</t>
  </si>
  <si>
    <t>UG</t>
  </si>
  <si>
    <t>UNDERGROUND</t>
  </si>
  <si>
    <t>IB</t>
  </si>
  <si>
    <t>IN BUILDING</t>
  </si>
  <si>
    <t>Compatibility Report for Homepass Databasse_Puri Krakatau Hijau Cluster Bukit Saphire.xls</t>
  </si>
  <si>
    <t>Run on 9/03/2022 11:36</t>
  </si>
  <si>
    <t>If the workbook is saved in an earlier file format or opened in an earlier version of Microsoft Excel, the listed features will not be available.</t>
  </si>
  <si>
    <t>Minor loss of fidelity</t>
  </si>
  <si>
    <t># of occurrences</t>
  </si>
  <si>
    <t>Version</t>
  </si>
  <si>
    <t>Some cells or styles in this workbook contain formatting that is not supported by the selected file format. These formats will be converted to the closest format available.</t>
  </si>
  <si>
    <t>Excel 97-2003</t>
  </si>
  <si>
    <t>:  m</t>
  </si>
  <si>
    <t>FAT Address</t>
  </si>
  <si>
    <t>CIREBON</t>
  </si>
  <si>
    <t>: 48C</t>
  </si>
  <si>
    <t>SITIWANGUN RW 09 CIREBON</t>
  </si>
  <si>
    <t>:  -6.702440°, 108.455580°</t>
  </si>
  <si>
    <t>ARJAWINANGUN</t>
  </si>
  <si>
    <t>JAWA BARAT</t>
  </si>
  <si>
    <t>JAMBLANG</t>
  </si>
  <si>
    <t>SITIWINANGUN</t>
  </si>
  <si>
    <t>FTTH</t>
  </si>
  <si>
    <t>JLN.</t>
  </si>
  <si>
    <t>BAKUNG - JAMBLANG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</si>
</sst>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 mmmm\ yyyy;@"/>
    <numFmt numFmtId="165" formatCode="_(* #,##0.00_);_(* \(#,##0.00\);_(* \-??_);_(@_)"/>
  </numFmts>
  <fonts count="20">
    <font>
      <sz val="11"/>
      <color indexed="8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1"/>
      <color indexed="8"/>
      <name val="Calibri"/>
      <family val="2"/>
      <scheme val="minor"/>
    </font>
    <font>
      <b/>
      <sz val="10"/>
      <color indexed="9"/>
      <name val="Calibri"/>
      <family val="2"/>
    </font>
    <font>
      <sz val="16"/>
      <color theme="1"/>
      <name val="Arial Unicode MS"/>
      <family val="2"/>
    </font>
    <font>
      <sz val="11"/>
      <color rgb="FF373435"/>
      <name val="Calibri"/>
      <family val="2"/>
      <scheme val="minor"/>
    </font>
    <font>
      <b/>
      <sz val="11"/>
      <color indexed="9"/>
      <name val="Calibri"/>
      <family val="2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宋体"/>
      <charset val="134"/>
    </font>
    <font>
      <sz val="10"/>
      <name val="DejaVu Sans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25"/>
      </patternFill>
    </fill>
    <fill>
      <patternFill patternType="solid">
        <fgColor rgb="FF92D050"/>
        <bgColor indexed="57"/>
      </patternFill>
    </fill>
    <fill>
      <patternFill patternType="solid">
        <fgColor rgb="FFFFFF00"/>
        <bgColor indexed="64"/>
      </patternFill>
    </fill>
    <fill>
      <patternFill patternType="solid">
        <fgColor indexed="60"/>
        <bgColor indexed="25"/>
      </patternFill>
    </fill>
    <fill>
      <patternFill patternType="solid">
        <fgColor indexed="17"/>
        <bgColor indexed="57"/>
      </patternFill>
    </fill>
    <fill>
      <patternFill patternType="solid">
        <fgColor indexed="55"/>
        <bgColor indexed="23"/>
      </patternFill>
    </fill>
    <fill>
      <patternFill patternType="solid">
        <fgColor rgb="FF00B050"/>
        <bgColor indexed="64"/>
      </patternFill>
    </fill>
    <fill>
      <patternFill patternType="solid">
        <fgColor indexed="26"/>
        <bgColor indexed="9"/>
      </patternFill>
    </fill>
  </fills>
  <borders count="13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57">
    <xf numFmtId="0" fontId="0" fillId="0" borderId="0"/>
    <xf numFmtId="164" fontId="18" fillId="0" borderId="0"/>
    <xf numFmtId="164" fontId="18" fillId="0" borderId="0"/>
    <xf numFmtId="164" fontId="18" fillId="0" borderId="0"/>
    <xf numFmtId="0" fontId="13" fillId="0" borderId="0">
      <alignment vertical="center"/>
    </xf>
    <xf numFmtId="164" fontId="18" fillId="0" borderId="0">
      <alignment vertical="center"/>
    </xf>
    <xf numFmtId="164" fontId="18" fillId="0" borderId="0"/>
    <xf numFmtId="164" fontId="18" fillId="0" borderId="0"/>
    <xf numFmtId="0" fontId="15" fillId="0" borderId="0">
      <alignment vertical="center"/>
    </xf>
    <xf numFmtId="164" fontId="18" fillId="0" borderId="0"/>
    <xf numFmtId="164" fontId="18" fillId="0" borderId="0"/>
    <xf numFmtId="164" fontId="18" fillId="0" borderId="0"/>
    <xf numFmtId="164" fontId="18" fillId="0" borderId="0">
      <alignment vertical="center"/>
    </xf>
    <xf numFmtId="164" fontId="4" fillId="0" borderId="0" applyBorder="0" applyProtection="0"/>
    <xf numFmtId="164" fontId="18" fillId="0" borderId="0">
      <alignment vertical="center"/>
    </xf>
    <xf numFmtId="164" fontId="18" fillId="0" borderId="0"/>
    <xf numFmtId="164" fontId="13" fillId="0" borderId="0">
      <alignment vertical="center"/>
    </xf>
    <xf numFmtId="164" fontId="18" fillId="0" borderId="0"/>
    <xf numFmtId="164" fontId="18" fillId="0" borderId="0"/>
    <xf numFmtId="164" fontId="13" fillId="0" borderId="0">
      <alignment vertical="center"/>
    </xf>
    <xf numFmtId="164" fontId="18" fillId="0" borderId="0"/>
    <xf numFmtId="164" fontId="14" fillId="0" borderId="0"/>
    <xf numFmtId="164" fontId="14" fillId="0" borderId="0"/>
    <xf numFmtId="0" fontId="13" fillId="0" borderId="0">
      <alignment vertical="center"/>
    </xf>
    <xf numFmtId="0" fontId="13" fillId="0" borderId="0">
      <alignment vertical="center"/>
    </xf>
    <xf numFmtId="0" fontId="18" fillId="0" borderId="0"/>
    <xf numFmtId="164" fontId="18" fillId="0" borderId="0"/>
    <xf numFmtId="0" fontId="15" fillId="0" borderId="0">
      <alignment vertical="center"/>
    </xf>
    <xf numFmtId="164" fontId="18" fillId="0" borderId="0"/>
    <xf numFmtId="164" fontId="18" fillId="0" borderId="0"/>
    <xf numFmtId="164" fontId="18" fillId="0" borderId="0"/>
    <xf numFmtId="0" fontId="4" fillId="0" borderId="0" applyBorder="0" applyProtection="0"/>
    <xf numFmtId="164" fontId="18" fillId="0" borderId="0"/>
    <xf numFmtId="0" fontId="18" fillId="0" borderId="0" applyNumberFormat="0" applyFill="0" applyBorder="0" applyAlignment="0" applyProtection="0"/>
    <xf numFmtId="164" fontId="18" fillId="0" borderId="0"/>
    <xf numFmtId="164" fontId="18" fillId="0" borderId="0"/>
    <xf numFmtId="0" fontId="4" fillId="0" borderId="0" applyBorder="0" applyProtection="0"/>
    <xf numFmtId="164" fontId="14" fillId="0" borderId="0"/>
    <xf numFmtId="164" fontId="18" fillId="0" borderId="0">
      <alignment vertical="center"/>
    </xf>
    <xf numFmtId="164" fontId="14" fillId="0" borderId="0"/>
    <xf numFmtId="164" fontId="18" fillId="0" borderId="0"/>
    <xf numFmtId="165" fontId="18" fillId="0" borderId="0" applyFill="0" applyBorder="0" applyAlignment="0" applyProtection="0"/>
    <xf numFmtId="164" fontId="4" fillId="0" borderId="0" applyBorder="0" applyProtection="0"/>
    <xf numFmtId="164" fontId="18" fillId="0" borderId="0"/>
    <xf numFmtId="0" fontId="18" fillId="0" borderId="0" applyNumberFormat="0" applyFill="0" applyBorder="0" applyAlignment="0" applyProtection="0"/>
    <xf numFmtId="0" fontId="6" fillId="0" borderId="0"/>
    <xf numFmtId="0" fontId="18" fillId="0" borderId="0"/>
    <xf numFmtId="164" fontId="18" fillId="0" borderId="0"/>
    <xf numFmtId="0" fontId="6" fillId="0" borderId="0"/>
    <xf numFmtId="0" fontId="18" fillId="0" borderId="0"/>
    <xf numFmtId="0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6" fillId="0" borderId="0"/>
    <xf numFmtId="164" fontId="18" fillId="0" borderId="0"/>
    <xf numFmtId="0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>
      <alignment vertical="center"/>
    </xf>
    <xf numFmtId="0" fontId="6" fillId="0" borderId="0"/>
    <xf numFmtId="164" fontId="18" fillId="0" borderId="0"/>
    <xf numFmtId="164" fontId="18" fillId="0" borderId="0"/>
    <xf numFmtId="164" fontId="18" fillId="0" borderId="0"/>
    <xf numFmtId="0" fontId="6" fillId="0" borderId="0"/>
    <xf numFmtId="0" fontId="6" fillId="0" borderId="0"/>
    <xf numFmtId="0" fontId="18" fillId="0" borderId="0" applyNumberFormat="0" applyFill="0" applyBorder="0" applyAlignment="0" applyProtection="0"/>
    <xf numFmtId="0" fontId="14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0" fontId="18" fillId="0" borderId="0" applyNumberFormat="0" applyFill="0" applyBorder="0" applyAlignment="0" applyProtection="0"/>
    <xf numFmtId="164" fontId="18" fillId="0" borderId="0"/>
    <xf numFmtId="164" fontId="18" fillId="0" borderId="0">
      <alignment vertical="center"/>
    </xf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0" fontId="18" fillId="0" borderId="0" applyNumberFormat="0" applyFill="0" applyBorder="0" applyAlignment="0" applyProtection="0"/>
    <xf numFmtId="164" fontId="18" fillId="0" borderId="0"/>
    <xf numFmtId="164" fontId="18" fillId="0" borderId="0"/>
    <xf numFmtId="164" fontId="18" fillId="0" borderId="0"/>
    <xf numFmtId="0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0" fontId="18" fillId="0" borderId="0" applyNumberFormat="0" applyFill="0" applyBorder="0" applyAlignment="0" applyProtection="0"/>
    <xf numFmtId="0" fontId="18" fillId="0" borderId="0"/>
    <xf numFmtId="0" fontId="18" fillId="0" borderId="0">
      <alignment vertical="center"/>
    </xf>
    <xf numFmtId="164" fontId="18" fillId="0" borderId="0"/>
    <xf numFmtId="164" fontId="18" fillId="0" borderId="0">
      <alignment vertical="center"/>
    </xf>
    <xf numFmtId="164" fontId="18" fillId="0" borderId="0"/>
    <xf numFmtId="164" fontId="18" fillId="0" borderId="0"/>
    <xf numFmtId="164" fontId="18" fillId="0" borderId="0"/>
    <xf numFmtId="164" fontId="15" fillId="0" borderId="0">
      <alignment vertical="center"/>
    </xf>
    <xf numFmtId="164" fontId="18" fillId="0" borderId="0"/>
    <xf numFmtId="0" fontId="18" fillId="0" borderId="0"/>
    <xf numFmtId="164" fontId="17" fillId="0" borderId="0"/>
    <xf numFmtId="164" fontId="18" fillId="0" borderId="0"/>
    <xf numFmtId="0" fontId="6" fillId="0" borderId="0"/>
    <xf numFmtId="0" fontId="6" fillId="0" borderId="0"/>
    <xf numFmtId="164" fontId="18" fillId="0" borderId="0">
      <alignment vertical="center"/>
    </xf>
    <xf numFmtId="164" fontId="17" fillId="0" borderId="0"/>
    <xf numFmtId="0" fontId="6" fillId="0" borderId="0"/>
    <xf numFmtId="0" fontId="6" fillId="0" borderId="0"/>
    <xf numFmtId="0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164" fontId="18" fillId="0" borderId="0"/>
    <xf numFmtId="0" fontId="18" fillId="9" borderId="5" applyNumberFormat="0" applyAlignment="0" applyProtection="0"/>
    <xf numFmtId="9" fontId="18" fillId="0" borderId="0" applyFill="0" applyBorder="0" applyAlignment="0" applyProtection="0"/>
    <xf numFmtId="164" fontId="15" fillId="0" borderId="0">
      <alignment vertical="center"/>
    </xf>
    <xf numFmtId="0" fontId="13" fillId="0" borderId="0">
      <alignment vertical="center"/>
    </xf>
  </cellStyleXfs>
  <cellXfs count="63">
    <xf numFmtId="0" fontId="0" fillId="0" borderId="0" xfId="0"/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48" applyFont="1" applyAlignment="1">
      <alignment vertical="center"/>
    </xf>
    <xf numFmtId="0" fontId="6" fillId="0" borderId="0" xfId="48"/>
    <xf numFmtId="0" fontId="6" fillId="0" borderId="0" xfId="48" applyAlignment="1">
      <alignment horizontal="right"/>
    </xf>
    <xf numFmtId="0" fontId="7" fillId="2" borderId="4" xfId="69" applyFont="1" applyFill="1" applyBorder="1" applyAlignment="1">
      <alignment horizontal="center" vertical="center" wrapText="1"/>
    </xf>
    <xf numFmtId="0" fontId="7" fillId="3" borderId="4" xfId="69" applyFont="1" applyFill="1" applyBorder="1" applyAlignment="1">
      <alignment horizontal="center" vertical="center" wrapText="1"/>
    </xf>
    <xf numFmtId="0" fontId="6" fillId="0" borderId="0" xfId="48" applyAlignment="1">
      <alignment horizontal="center"/>
    </xf>
    <xf numFmtId="0" fontId="6" fillId="0" borderId="0" xfId="48" applyAlignment="1">
      <alignment horizontal="center" vertical="center"/>
    </xf>
    <xf numFmtId="0" fontId="5" fillId="0" borderId="0" xfId="48" applyFont="1" applyAlignment="1">
      <alignment horizontal="left" vertical="center"/>
    </xf>
    <xf numFmtId="0" fontId="9" fillId="5" borderId="4" xfId="69" applyFont="1" applyFill="1" applyBorder="1" applyAlignment="1">
      <alignment horizontal="center" vertical="center" wrapText="1"/>
    </xf>
    <xf numFmtId="0" fontId="9" fillId="6" borderId="4" xfId="69" applyFont="1" applyFill="1" applyBorder="1" applyAlignment="1">
      <alignment horizontal="center" vertical="center" wrapText="1"/>
    </xf>
    <xf numFmtId="0" fontId="10" fillId="0" borderId="0" xfId="48" applyFont="1"/>
    <xf numFmtId="0" fontId="9" fillId="7" borderId="4" xfId="69" applyFont="1" applyFill="1" applyBorder="1" applyAlignment="1">
      <alignment horizontal="center" vertical="center" wrapText="1"/>
    </xf>
    <xf numFmtId="0" fontId="12" fillId="7" borderId="4" xfId="69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9" fillId="8" borderId="4" xfId="69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7" fillId="3" borderId="7" xfId="69" applyFont="1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0" fontId="3" fillId="0" borderId="0" xfId="48" applyFont="1"/>
    <xf numFmtId="0" fontId="2" fillId="0" borderId="0" xfId="48" applyFont="1"/>
    <xf numFmtId="0" fontId="1" fillId="0" borderId="0" xfId="48" applyFont="1"/>
    <xf numFmtId="0" fontId="0" fillId="0" borderId="0" xfId="0" applyAlignment="1">
      <alignment horizontal="right"/>
    </xf>
    <xf numFmtId="0" fontId="9" fillId="6" borderId="4" xfId="69" applyFont="1" applyFill="1" applyBorder="1" applyAlignment="1">
      <alignment horizontal="right" vertical="center" wrapText="1"/>
    </xf>
    <xf numFmtId="0" fontId="0" fillId="0" borderId="8" xfId="0" applyBorder="1" applyAlignment="1">
      <alignment horizontal="right" vertical="center"/>
    </xf>
    <xf numFmtId="0" fontId="0" fillId="0" borderId="0" xfId="0" applyAlignment="1">
      <alignment horizontal="left"/>
    </xf>
    <xf numFmtId="0" fontId="9" fillId="6" borderId="4" xfId="69" applyFont="1" applyFill="1" applyBorder="1" applyAlignment="1">
      <alignment horizontal="left" vertical="center" wrapText="1"/>
    </xf>
    <xf numFmtId="0" fontId="0" fillId="4" borderId="8" xfId="0" applyFill="1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18" fillId="0" borderId="9" xfId="0" applyFont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/>
    </xf>
    <xf numFmtId="0" fontId="0" fillId="0" borderId="9" xfId="0" applyBorder="1"/>
    <xf numFmtId="0" fontId="8" fillId="0" borderId="9" xfId="0" applyFont="1" applyBorder="1" applyAlignment="1">
      <alignment horizontal="right" vertical="center"/>
    </xf>
    <xf numFmtId="0" fontId="5" fillId="0" borderId="9" xfId="48" applyFont="1" applyBorder="1" applyAlignment="1">
      <alignment horizontal="left" vertical="center"/>
    </xf>
    <xf numFmtId="0" fontId="18" fillId="0" borderId="9" xfId="0" applyFont="1" applyBorder="1" applyAlignment="1">
      <alignment horizontal="center" wrapText="1"/>
    </xf>
    <xf numFmtId="0" fontId="5" fillId="0" borderId="9" xfId="48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2" xfId="0" applyBorder="1"/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 vertical="center"/>
    </xf>
    <xf numFmtId="0" fontId="0" fillId="0" borderId="11" xfId="0" applyBorder="1"/>
    <xf numFmtId="0" fontId="8" fillId="0" borderId="0" xfId="0" applyFont="1" applyBorder="1" applyAlignment="1">
      <alignment horizontal="left" vertical="center"/>
    </xf>
    <xf numFmtId="0" fontId="0" fillId="0" borderId="10" xfId="0" applyNumberFormat="1" applyBorder="1" applyAlignment="1">
      <alignment horizontal="center" vertical="center"/>
    </xf>
    <xf numFmtId="0" fontId="0" fillId="0" borderId="10" xfId="0" applyBorder="1"/>
    <xf numFmtId="0" fontId="0" fillId="0" borderId="0" xfId="0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/>
    </xf>
  </cellXfs>
  <cellStyles count="157">
    <cellStyle name="Comma 2" xfId="41"/>
    <cellStyle name="Explanatory Text 2" xfId="31"/>
    <cellStyle name="Explanatory Text 2 2" xfId="13"/>
    <cellStyle name="Explanatory Text 3" xfId="36"/>
    <cellStyle name="Explanatory Text 3 2" xfId="42"/>
    <cellStyle name="Normal" xfId="0" builtinId="0"/>
    <cellStyle name="Normal 10" xfId="43"/>
    <cellStyle name="Normal 10 10" xfId="18"/>
    <cellStyle name="Normal 10 10 2" xfId="46"/>
    <cellStyle name="Normal 10 10 3" xfId="49"/>
    <cellStyle name="Normal 10 10 4" xfId="25"/>
    <cellStyle name="Normal 10 10 5" xfId="50"/>
    <cellStyle name="Normal 11" xfId="40"/>
    <cellStyle name="Normal 11 2" xfId="29"/>
    <cellStyle name="Normal 12" xfId="30"/>
    <cellStyle name="Normal 12 2" xfId="51"/>
    <cellStyle name="Normal 12 3" xfId="17"/>
    <cellStyle name="Normal 13" xfId="52"/>
    <cellStyle name="Normal 13 2" xfId="53"/>
    <cellStyle name="Normal 14" xfId="54"/>
    <cellStyle name="Normal 15" xfId="55"/>
    <cellStyle name="Normal 16" xfId="56"/>
    <cellStyle name="Normal 17" xfId="45"/>
    <cellStyle name="Normal 18" xfId="48"/>
    <cellStyle name="Normal 2" xfId="57"/>
    <cellStyle name="Normal 2 10" xfId="58"/>
    <cellStyle name="Normal 2 11" xfId="59"/>
    <cellStyle name="Normal 2 12" xfId="60"/>
    <cellStyle name="Normal 2 13" xfId="61"/>
    <cellStyle name="Normal 2 13 2" xfId="62"/>
    <cellStyle name="Normal 2 14" xfId="14"/>
    <cellStyle name="Normal 2 15" xfId="63"/>
    <cellStyle name="Normal 2 16" xfId="64"/>
    <cellStyle name="Normal 2 17" xfId="65"/>
    <cellStyle name="Normal 2 18" xfId="66"/>
    <cellStyle name="Normal 2 19" xfId="67"/>
    <cellStyle name="Normal 2 2" xfId="68"/>
    <cellStyle name="Normal 2 2 2" xfId="69"/>
    <cellStyle name="Normal 2 2 2 2" xfId="21"/>
    <cellStyle name="Normal 2 2 2 3" xfId="22"/>
    <cellStyle name="Normal 2 2 3" xfId="70"/>
    <cellStyle name="Normal 2 2 3 2" xfId="71"/>
    <cellStyle name="Normal 2 2 3 2 2" xfId="72"/>
    <cellStyle name="Normal 2 2 3 3" xfId="35"/>
    <cellStyle name="Normal 2 2 3 4" xfId="33"/>
    <cellStyle name="Normal 2 2 4" xfId="73"/>
    <cellStyle name="Normal 2 2 4 2" xfId="74"/>
    <cellStyle name="Normal 2 2 5" xfId="75"/>
    <cellStyle name="Normal 2 2 6" xfId="76"/>
    <cellStyle name="Normal 2 2 7" xfId="78"/>
    <cellStyle name="Normal 2 2 8" xfId="80"/>
    <cellStyle name="Normal 2 2 9" xfId="81"/>
    <cellStyle name="Normal 2 3" xfId="82"/>
    <cellStyle name="Normal 2 3 2" xfId="83"/>
    <cellStyle name="Normal 2 3 2 2" xfId="47"/>
    <cellStyle name="Normal 2 3 2 2 2" xfId="84"/>
    <cellStyle name="Normal 2 3 2 3" xfId="26"/>
    <cellStyle name="Normal 2 3 3" xfId="85"/>
    <cellStyle name="Normal 2 3 3 2" xfId="86"/>
    <cellStyle name="Normal 2 3 4" xfId="87"/>
    <cellStyle name="Normal 2 4" xfId="88"/>
    <cellStyle name="Normal 2 4 2" xfId="89"/>
    <cellStyle name="Normal 2 4 2 2" xfId="90"/>
    <cellStyle name="Normal 2 4 2 2 2" xfId="91"/>
    <cellStyle name="Normal 2 4 2 3" xfId="92"/>
    <cellStyle name="Normal 2 4 3" xfId="93"/>
    <cellStyle name="Normal 2 4 3 2" xfId="94"/>
    <cellStyle name="Normal 2 4 4" xfId="1"/>
    <cellStyle name="Normal 2 5" xfId="95"/>
    <cellStyle name="Normal 2 5 2" xfId="96"/>
    <cellStyle name="Normal 2 5 2 2" xfId="97"/>
    <cellStyle name="Normal 2 5 3" xfId="98"/>
    <cellStyle name="Normal 2 5 4" xfId="99"/>
    <cellStyle name="Normal 2 6" xfId="100"/>
    <cellStyle name="Normal 2 6 2" xfId="101"/>
    <cellStyle name="Normal 2 6 2 2" xfId="15"/>
    <cellStyle name="Normal 2 6 3" xfId="102"/>
    <cellStyle name="Normal 2 7" xfId="103"/>
    <cellStyle name="Normal 2 7 2" xfId="104"/>
    <cellStyle name="Normal 2 7 3" xfId="28"/>
    <cellStyle name="Normal 2 8" xfId="105"/>
    <cellStyle name="Normal 2 8 2" xfId="106"/>
    <cellStyle name="Normal 2 8 2 2" xfId="107"/>
    <cellStyle name="Normal 2 8 3" xfId="108"/>
    <cellStyle name="Normal 2 9" xfId="109"/>
    <cellStyle name="Normal 2 9 2" xfId="110"/>
    <cellStyle name="Normal 22" xfId="44"/>
    <cellStyle name="Normal 22 2" xfId="111"/>
    <cellStyle name="Normal 24" xfId="27"/>
    <cellStyle name="Normal 3" xfId="112"/>
    <cellStyle name="Normal 3 2" xfId="113"/>
    <cellStyle name="Normal 3 2 2" xfId="37"/>
    <cellStyle name="Normal 3 2 2 2" xfId="5"/>
    <cellStyle name="Normal 3 2 3" xfId="38"/>
    <cellStyle name="Normal 3 2 4" xfId="39"/>
    <cellStyle name="Normal 3 3" xfId="114"/>
    <cellStyle name="Normal 3 3 2" xfId="115"/>
    <cellStyle name="Normal 3 4" xfId="116"/>
    <cellStyle name="Normal 3 5" xfId="117"/>
    <cellStyle name="Normal 3 6" xfId="118"/>
    <cellStyle name="Normal 3 7" xfId="119"/>
    <cellStyle name="Normal 3 8" xfId="120"/>
    <cellStyle name="Normal 4" xfId="121"/>
    <cellStyle name="Normal 4 2" xfId="122"/>
    <cellStyle name="Normal 4 2 2" xfId="123"/>
    <cellStyle name="Normal 4 2 3" xfId="124"/>
    <cellStyle name="Normal 4 2 4" xfId="125"/>
    <cellStyle name="Normal 4 3" xfId="126"/>
    <cellStyle name="Normal 4 4" xfId="127"/>
    <cellStyle name="Normal 4 5" xfId="128"/>
    <cellStyle name="Normal 4 6" xfId="129"/>
    <cellStyle name="Normal 5" xfId="130"/>
    <cellStyle name="Normal 5 2" xfId="131"/>
    <cellStyle name="Normal 5 2 2" xfId="132"/>
    <cellStyle name="Normal 5 2 2 2" xfId="133"/>
    <cellStyle name="Normal 5 2 3" xfId="2"/>
    <cellStyle name="Normal 5 3" xfId="9"/>
    <cellStyle name="Normal 5 3 2" xfId="134"/>
    <cellStyle name="Normal 5 4" xfId="6"/>
    <cellStyle name="Normal 5 5" xfId="11"/>
    <cellStyle name="Normal 5 6" xfId="12"/>
    <cellStyle name="Normal 5 7" xfId="34"/>
    <cellStyle name="Normal 5 8" xfId="135"/>
    <cellStyle name="Normal 5 9" xfId="136"/>
    <cellStyle name="Normal 50 2 2" xfId="137"/>
    <cellStyle name="Normal 50 2 2 2" xfId="138"/>
    <cellStyle name="Normal 6" xfId="139"/>
    <cellStyle name="Normal 6 2" xfId="140"/>
    <cellStyle name="Normal 6 2 2" xfId="141"/>
    <cellStyle name="Normal 6 2 2 2" xfId="142"/>
    <cellStyle name="Normal 6 2 3" xfId="143"/>
    <cellStyle name="Normal 6 3" xfId="7"/>
    <cellStyle name="Normal 6 3 2" xfId="20"/>
    <cellStyle name="Normal 6 4" xfId="144"/>
    <cellStyle name="Normal 7" xfId="145"/>
    <cellStyle name="Normal 7 2" xfId="3"/>
    <cellStyle name="Normal 7 2 2" xfId="32"/>
    <cellStyle name="Normal 7 2 2 2" xfId="146"/>
    <cellStyle name="Normal 7 2 3" xfId="147"/>
    <cellStyle name="Normal 7 3" xfId="148"/>
    <cellStyle name="Normal 7 3 2" xfId="149"/>
    <cellStyle name="Normal 7 4" xfId="150"/>
    <cellStyle name="Normal 8" xfId="10"/>
    <cellStyle name="Normal 9" xfId="151"/>
    <cellStyle name="Normal 9 2" xfId="77"/>
    <cellStyle name="Normal 9 2 2" xfId="152"/>
    <cellStyle name="Normal 9 3" xfId="79"/>
    <cellStyle name="Note 2" xfId="153"/>
    <cellStyle name="Percent 2" xfId="154"/>
    <cellStyle name="常规 2" xfId="8"/>
    <cellStyle name="常规 2 2" xfId="19"/>
    <cellStyle name="常规 2 2 2" xfId="155"/>
    <cellStyle name="常规 2 3" xfId="16"/>
    <cellStyle name="常规 2 4" xfId="4"/>
    <cellStyle name="常规 2 5" xfId="23"/>
    <cellStyle name="常规 2 6" xfId="24"/>
    <cellStyle name="常规 2 7" xfId="156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99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99999"/>
      <rgbColor rgb="00003366"/>
      <rgbColor rgb="00339966"/>
      <rgbColor rgb="00003300"/>
      <rgbColor rgb="00333300"/>
      <rgbColor rgb="00CC3300"/>
      <rgbColor rgb="00993366"/>
      <rgbColor rgb="00333399"/>
      <rgbColor rgb="00333333"/>
    </indexedColors>
    <mruColors>
      <color rgb="FF92D050"/>
      <color rgb="FFCC3300"/>
      <color rgb="FF009900"/>
      <color rgb="FFFFC000"/>
      <color rgb="FF8EA9DB"/>
      <color rgb="FF999999"/>
      <color rgb="FFFFFF00"/>
      <color rgb="FFFFFFFF"/>
      <color rgb="FF37343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BF611"/>
  <sheetViews>
    <sheetView tabSelected="1" zoomScale="70" zoomScaleNormal="70" workbookViewId="0">
      <selection activeCell="I7" sqref="I7"/>
    </sheetView>
  </sheetViews>
  <sheetFormatPr defaultColWidth="9.28515625" defaultRowHeight="18" customHeight="1"/>
  <cols>
    <col min="1" max="1" width="27.7109375"/>
    <col min="2" max="2" width="10.7109375"/>
    <col min="3" max="3" width="43.7109375" bestFit="1" customWidth="1"/>
    <col min="6" max="6" width="9.28515625" style="10"/>
    <col min="7" max="7" width="8.28515625" customWidth="1"/>
    <col min="8" max="8" width="15.7109375" customWidth="1"/>
    <col min="9" max="9" width="24" customWidth="1"/>
    <col min="10" max="10" width="20" customWidth="1"/>
    <col min="11" max="11" width="17.7109375" bestFit="1" customWidth="1"/>
    <col min="12" max="12" width="30.5703125" bestFit="1" customWidth="1"/>
    <col min="13" max="13" width="23.7109375" bestFit="1" customWidth="1"/>
    <col min="14" max="14" width="25.7109375" bestFit="1" customWidth="1"/>
    <col min="15" max="15" width="19.7109375" bestFit="1" customWidth="1"/>
    <col min="16" max="16" width="23.5703125" bestFit="1" customWidth="1"/>
    <col min="17" max="17" width="19.7109375" bestFit="1" customWidth="1"/>
    <col min="18" max="20" width="10.7109375" customWidth="1"/>
    <col min="21" max="21" width="17.7109375" bestFit="1" customWidth="1"/>
    <col min="22" max="22" width="10.7109375" customWidth="1"/>
    <col min="23" max="23" width="34" customWidth="1"/>
    <col min="24" max="24" width="40.28515625" customWidth="1"/>
    <col min="25" max="26" width="63.28515625" bestFit="1" customWidth="1"/>
    <col min="27" max="27" width="17.7109375" bestFit="1" customWidth="1"/>
    <col min="28" max="28" width="10.7109375" customWidth="1"/>
    <col min="29" max="29" width="15.42578125" style="36" bestFit="1" customWidth="1"/>
    <col min="30" max="30" width="25.5703125" style="39" bestFit="1" customWidth="1"/>
    <col min="31" max="31" width="10.5703125" bestFit="1" customWidth="1"/>
    <col min="32" max="32" width="15.42578125" bestFit="1" customWidth="1"/>
    <col min="33" max="33" width="17.28515625" bestFit="1" customWidth="1"/>
    <col min="34" max="34" width="15.42578125" bestFit="1" customWidth="1"/>
    <col min="35" max="35" width="19.7109375" bestFit="1" customWidth="1"/>
    <col min="36" max="36" width="19.7109375" style="26" customWidth="1"/>
    <col min="37" max="37" width="17.7109375" hidden="1" customWidth="1"/>
    <col min="38" max="42" width="19.7109375" hidden="1" customWidth="1"/>
    <col min="43" max="43" width="17.7109375" hidden="1" customWidth="1"/>
    <col min="44" max="45" width="19.7109375" hidden="1" customWidth="1"/>
    <col min="46" max="46" width="19.7109375" customWidth="1"/>
    <col min="47" max="47" width="17.7109375" bestFit="1" customWidth="1"/>
    <col min="48" max="48" width="19.7109375" style="24" bestFit="1" customWidth="1"/>
    <col min="49" max="49" width="25.28515625" style="24" bestFit="1" customWidth="1"/>
    <col min="50" max="50" width="27.7109375" bestFit="1" customWidth="1"/>
    <col min="51" max="51" width="20.7109375" bestFit="1" customWidth="1"/>
    <col min="52" max="52" width="28.7109375" bestFit="1" customWidth="1"/>
    <col min="53" max="53" width="15" bestFit="1" customWidth="1"/>
    <col min="54" max="54" width="15.42578125" bestFit="1" customWidth="1"/>
    <col min="55" max="55" width="12.28515625" bestFit="1" customWidth="1"/>
    <col min="56" max="56" width="26.7109375" bestFit="1" customWidth="1"/>
    <col min="57" max="57" width="5.5703125" bestFit="1" customWidth="1"/>
    <col min="58" max="58" width="37" bestFit="1" customWidth="1"/>
  </cols>
  <sheetData>
    <row r="1" spans="1:58" ht="18" customHeight="1">
      <c r="A1" t="s">
        <v>0</v>
      </c>
    </row>
    <row r="2" spans="1:58" ht="18" customHeight="1">
      <c r="A2" s="12"/>
      <c r="B2" s="17"/>
      <c r="C2" s="12"/>
      <c r="D2" s="12"/>
      <c r="E2" s="16"/>
      <c r="F2" s="16"/>
      <c r="G2" s="12"/>
      <c r="H2" s="12"/>
      <c r="I2" s="16"/>
      <c r="J2" s="16"/>
      <c r="K2" s="16"/>
      <c r="L2" s="16"/>
      <c r="M2" s="17"/>
      <c r="N2" s="11"/>
      <c r="O2" s="12"/>
      <c r="P2" s="12"/>
      <c r="Q2" s="12"/>
      <c r="R2" s="17"/>
      <c r="S2" s="21"/>
    </row>
    <row r="3" spans="1:58" ht="18" customHeight="1">
      <c r="A3" s="11" t="s">
        <v>1</v>
      </c>
      <c r="B3" s="13" t="s">
        <v>2</v>
      </c>
      <c r="C3" s="11" t="s">
        <v>88</v>
      </c>
      <c r="D3" s="12"/>
      <c r="E3" s="12"/>
      <c r="F3" s="17"/>
      <c r="G3" s="12"/>
      <c r="H3" s="12"/>
      <c r="I3" s="16"/>
      <c r="J3" s="16" t="s">
        <v>3</v>
      </c>
      <c r="K3" s="16"/>
      <c r="L3" s="18" t="s">
        <v>4</v>
      </c>
      <c r="M3" s="12"/>
      <c r="N3" s="35" t="s">
        <v>89</v>
      </c>
      <c r="O3" s="12"/>
      <c r="P3" s="12"/>
      <c r="Q3" s="12"/>
      <c r="R3" s="17"/>
    </row>
    <row r="4" spans="1:58" ht="15.75" customHeight="1">
      <c r="A4" s="11" t="s">
        <v>5</v>
      </c>
      <c r="B4" s="13" t="s">
        <v>2</v>
      </c>
      <c r="C4" s="11" t="s">
        <v>92</v>
      </c>
      <c r="D4" s="12"/>
      <c r="K4" s="16"/>
      <c r="L4" s="18" t="s">
        <v>6</v>
      </c>
      <c r="M4" s="12"/>
      <c r="N4" s="33" t="str">
        <f>": "&amp;COUNTA(M10:M354)&amp;" HP /Aerial"</f>
        <v>: 345 HP /Aerial</v>
      </c>
      <c r="O4" s="12"/>
      <c r="P4" s="12"/>
      <c r="Q4" s="12"/>
      <c r="R4" s="17"/>
      <c r="S4" s="21"/>
    </row>
    <row r="5" spans="1:58" ht="18" customHeight="1">
      <c r="A5" s="11" t="s">
        <v>7</v>
      </c>
      <c r="B5" s="13" t="s">
        <v>2</v>
      </c>
      <c r="C5" s="57" t="s">
        <v>90</v>
      </c>
      <c r="D5" s="34"/>
      <c r="E5" s="12"/>
      <c r="F5" s="17"/>
      <c r="G5" s="12"/>
      <c r="H5" s="12"/>
      <c r="I5" s="16"/>
      <c r="J5" s="16"/>
      <c r="K5" s="16"/>
      <c r="L5" s="18" t="s">
        <v>8</v>
      </c>
      <c r="M5" s="12"/>
      <c r="N5" s="12" t="s">
        <v>86</v>
      </c>
      <c r="O5" s="12"/>
      <c r="P5" s="12"/>
      <c r="Q5" s="12"/>
      <c r="R5" s="17"/>
      <c r="S5" s="21"/>
    </row>
    <row r="6" spans="1:58" ht="18" customHeight="1">
      <c r="A6" s="11" t="s">
        <v>9</v>
      </c>
      <c r="B6" s="13" t="s">
        <v>2</v>
      </c>
      <c r="C6" s="11">
        <f>AS103</f>
        <v>0</v>
      </c>
      <c r="D6" s="12"/>
      <c r="E6" s="12"/>
      <c r="F6" s="17"/>
      <c r="G6" s="12"/>
      <c r="H6" s="12" t="s">
        <v>10</v>
      </c>
      <c r="I6" s="16"/>
      <c r="J6" s="16"/>
      <c r="K6" s="16"/>
      <c r="L6" s="18" t="s">
        <v>11</v>
      </c>
      <c r="M6" s="17"/>
      <c r="N6" s="35" t="s">
        <v>91</v>
      </c>
      <c r="O6" s="12"/>
      <c r="P6" s="12"/>
      <c r="Q6" s="12"/>
      <c r="R6" s="17"/>
      <c r="S6" s="21"/>
    </row>
    <row r="7" spans="1:58" ht="18" customHeight="1">
      <c r="A7" s="12"/>
      <c r="B7" s="12"/>
      <c r="C7" s="12"/>
      <c r="D7" s="12"/>
      <c r="E7" s="12"/>
      <c r="F7" s="17"/>
      <c r="G7" s="12"/>
      <c r="H7" s="12"/>
      <c r="I7" s="16">
        <f>COUNTA(I10:I14000)</f>
        <v>0</v>
      </c>
      <c r="J7" s="16">
        <f t="shared" ref="J7:BD7" si="0">COUNTA(J10:J14000)</f>
        <v>0</v>
      </c>
      <c r="K7" s="16">
        <f t="shared" si="0"/>
        <v>0</v>
      </c>
      <c r="L7" s="16">
        <f t="shared" si="0"/>
        <v>0</v>
      </c>
      <c r="M7" s="16">
        <f t="shared" si="0"/>
        <v>602</v>
      </c>
      <c r="N7" s="16">
        <f t="shared" si="0"/>
        <v>1</v>
      </c>
      <c r="O7" s="16">
        <f t="shared" si="0"/>
        <v>1</v>
      </c>
      <c r="P7" s="16">
        <f t="shared" si="0"/>
        <v>1</v>
      </c>
      <c r="Q7" s="16">
        <f t="shared" si="0"/>
        <v>1</v>
      </c>
      <c r="R7" s="16">
        <f t="shared" si="0"/>
        <v>0</v>
      </c>
      <c r="S7" s="16">
        <f t="shared" si="0"/>
        <v>0</v>
      </c>
      <c r="T7" s="16">
        <f t="shared" si="0"/>
        <v>0</v>
      </c>
      <c r="U7" s="16">
        <f t="shared" si="0"/>
        <v>602</v>
      </c>
      <c r="V7" s="16">
        <f t="shared" si="0"/>
        <v>0</v>
      </c>
      <c r="W7" s="16">
        <f t="shared" si="0"/>
        <v>1</v>
      </c>
      <c r="X7" s="16">
        <f t="shared" si="0"/>
        <v>0</v>
      </c>
      <c r="Y7" s="16">
        <f t="shared" si="0"/>
        <v>1</v>
      </c>
      <c r="Z7" s="16">
        <f t="shared" si="0"/>
        <v>1</v>
      </c>
      <c r="AA7" s="16">
        <f t="shared" si="0"/>
        <v>1</v>
      </c>
      <c r="AB7" s="16">
        <f t="shared" si="0"/>
        <v>1</v>
      </c>
      <c r="AC7" s="16">
        <f t="shared" si="0"/>
        <v>602</v>
      </c>
      <c r="AD7" s="16">
        <f t="shared" si="0"/>
        <v>1</v>
      </c>
      <c r="AE7" s="16">
        <f t="shared" si="0"/>
        <v>0</v>
      </c>
      <c r="AF7" s="16">
        <f t="shared" si="0"/>
        <v>0</v>
      </c>
      <c r="AG7" s="16">
        <f t="shared" si="0"/>
        <v>0</v>
      </c>
      <c r="AH7" s="16">
        <f t="shared" si="0"/>
        <v>0</v>
      </c>
      <c r="AI7" s="16">
        <f t="shared" si="0"/>
        <v>0</v>
      </c>
      <c r="AJ7" s="16">
        <f t="shared" si="0"/>
        <v>0</v>
      </c>
      <c r="AK7" s="16">
        <f t="shared" si="0"/>
        <v>0</v>
      </c>
      <c r="AL7" s="16">
        <f t="shared" si="0"/>
        <v>0</v>
      </c>
      <c r="AM7" s="16">
        <f t="shared" si="0"/>
        <v>0</v>
      </c>
      <c r="AN7" s="16">
        <f t="shared" si="0"/>
        <v>0</v>
      </c>
      <c r="AO7" s="16">
        <f t="shared" si="0"/>
        <v>0</v>
      </c>
      <c r="AP7" s="16">
        <f t="shared" si="0"/>
        <v>0</v>
      </c>
      <c r="AQ7" s="16">
        <f t="shared" si="0"/>
        <v>0</v>
      </c>
      <c r="AR7" s="16">
        <f t="shared" si="0"/>
        <v>0</v>
      </c>
      <c r="AS7" s="16">
        <f t="shared" si="0"/>
        <v>0</v>
      </c>
      <c r="AT7" s="16">
        <f t="shared" si="0"/>
        <v>0</v>
      </c>
      <c r="AU7" s="16">
        <f t="shared" si="0"/>
        <v>0</v>
      </c>
      <c r="AV7" s="16">
        <f t="shared" si="0"/>
        <v>0</v>
      </c>
      <c r="AW7" s="16">
        <f t="shared" si="0"/>
        <v>0</v>
      </c>
      <c r="AX7" s="16">
        <f t="shared" si="0"/>
        <v>602</v>
      </c>
      <c r="AY7" s="16">
        <f t="shared" si="0"/>
        <v>602</v>
      </c>
      <c r="AZ7" s="16">
        <f t="shared" si="0"/>
        <v>602</v>
      </c>
      <c r="BA7" s="16">
        <f t="shared" si="0"/>
        <v>602</v>
      </c>
      <c r="BB7" s="16">
        <f t="shared" si="0"/>
        <v>602</v>
      </c>
      <c r="BC7" s="16">
        <f t="shared" si="0"/>
        <v>602</v>
      </c>
      <c r="BD7" s="16">
        <f t="shared" si="0"/>
        <v>602</v>
      </c>
    </row>
    <row r="8" spans="1:58" s="9" customFormat="1" ht="81" customHeight="1">
      <c r="A8" s="14" t="s">
        <v>12</v>
      </c>
      <c r="B8" s="14" t="s">
        <v>13</v>
      </c>
      <c r="C8" s="15" t="s">
        <v>14</v>
      </c>
      <c r="D8" s="15" t="s">
        <v>15</v>
      </c>
      <c r="E8" s="15" t="s">
        <v>16</v>
      </c>
      <c r="F8" s="14" t="s">
        <v>17</v>
      </c>
      <c r="G8" s="15" t="s">
        <v>18</v>
      </c>
      <c r="H8" s="14" t="s">
        <v>19</v>
      </c>
      <c r="I8" s="15" t="s">
        <v>20</v>
      </c>
      <c r="J8" s="14" t="s">
        <v>21</v>
      </c>
      <c r="K8" s="14" t="s">
        <v>22</v>
      </c>
      <c r="L8" s="28" t="s">
        <v>87</v>
      </c>
      <c r="M8" s="19" t="s">
        <v>23</v>
      </c>
      <c r="N8" s="19" t="s">
        <v>24</v>
      </c>
      <c r="O8" s="20" t="s">
        <v>25</v>
      </c>
      <c r="P8" s="20" t="s">
        <v>26</v>
      </c>
      <c r="Q8" s="20" t="s">
        <v>27</v>
      </c>
      <c r="R8" s="19" t="s">
        <v>28</v>
      </c>
      <c r="S8" s="20" t="s">
        <v>29</v>
      </c>
      <c r="T8" s="19" t="s">
        <v>30</v>
      </c>
      <c r="U8" s="20" t="s">
        <v>31</v>
      </c>
      <c r="V8" s="19" t="s">
        <v>32</v>
      </c>
      <c r="W8" s="19" t="s">
        <v>33</v>
      </c>
      <c r="X8" s="20" t="s">
        <v>34</v>
      </c>
      <c r="Y8" s="19" t="s">
        <v>35</v>
      </c>
      <c r="Z8" s="19" t="s">
        <v>36</v>
      </c>
      <c r="AA8" s="20" t="s">
        <v>37</v>
      </c>
      <c r="AB8" s="20" t="s">
        <v>38</v>
      </c>
      <c r="AC8" s="37" t="s">
        <v>39</v>
      </c>
      <c r="AD8" s="40" t="s">
        <v>40</v>
      </c>
      <c r="AE8" s="22" t="s">
        <v>41</v>
      </c>
      <c r="AF8" s="22" t="s">
        <v>42</v>
      </c>
      <c r="AG8" s="23" t="s">
        <v>43</v>
      </c>
      <c r="AH8" s="22" t="s">
        <v>44</v>
      </c>
      <c r="AI8" s="20" t="s">
        <v>45</v>
      </c>
      <c r="AJ8" s="20" t="s">
        <v>46</v>
      </c>
      <c r="AK8" s="20" t="s">
        <v>47</v>
      </c>
      <c r="AL8" s="22" t="s">
        <v>48</v>
      </c>
      <c r="AM8" s="22" t="s">
        <v>49</v>
      </c>
      <c r="AN8" s="22" t="s">
        <v>50</v>
      </c>
      <c r="AO8" s="22" t="s">
        <v>51</v>
      </c>
      <c r="AP8" s="22" t="s">
        <v>52</v>
      </c>
      <c r="AQ8" s="20" t="s">
        <v>53</v>
      </c>
      <c r="AR8" s="20" t="s">
        <v>54</v>
      </c>
      <c r="AS8" s="19" t="s">
        <v>55</v>
      </c>
      <c r="AT8" s="19" t="s">
        <v>56</v>
      </c>
      <c r="AU8" s="20" t="s">
        <v>57</v>
      </c>
      <c r="AV8" s="25" t="s">
        <v>58</v>
      </c>
      <c r="AW8" s="25" t="s">
        <v>59</v>
      </c>
      <c r="AX8" s="22" t="s">
        <v>60</v>
      </c>
      <c r="AY8" s="22" t="s">
        <v>61</v>
      </c>
      <c r="AZ8" s="22" t="s">
        <v>62</v>
      </c>
      <c r="BA8" s="22" t="s">
        <v>63</v>
      </c>
      <c r="BB8" s="22" t="s">
        <v>64</v>
      </c>
      <c r="BC8" s="22" t="s">
        <v>65</v>
      </c>
      <c r="BD8" s="22" t="s">
        <v>66</v>
      </c>
    </row>
    <row r="9" spans="1:58" s="10" customFormat="1" ht="21.75" customHeight="1">
      <c r="A9" s="27" t="s">
        <v>67</v>
      </c>
      <c r="B9" s="27" t="s">
        <v>67</v>
      </c>
      <c r="C9" s="27" t="s">
        <v>67</v>
      </c>
      <c r="D9" s="27" t="s">
        <v>67</v>
      </c>
      <c r="E9" s="27" t="s">
        <v>67</v>
      </c>
      <c r="F9" s="27" t="s">
        <v>67</v>
      </c>
      <c r="G9" s="29" t="s">
        <v>67</v>
      </c>
      <c r="H9" s="29" t="s">
        <v>67</v>
      </c>
      <c r="I9" s="29" t="s">
        <v>67</v>
      </c>
      <c r="J9" s="29" t="s">
        <v>67</v>
      </c>
      <c r="K9" s="29" t="s">
        <v>67</v>
      </c>
      <c r="L9" s="29" t="s">
        <v>67</v>
      </c>
      <c r="M9" s="29" t="s">
        <v>67</v>
      </c>
      <c r="N9" s="29" t="s">
        <v>67</v>
      </c>
      <c r="O9" s="29" t="s">
        <v>67</v>
      </c>
      <c r="P9" s="29" t="s">
        <v>67</v>
      </c>
      <c r="Q9" s="29" t="s">
        <v>67</v>
      </c>
      <c r="R9" s="31" t="s">
        <v>68</v>
      </c>
      <c r="S9" s="31" t="s">
        <v>68</v>
      </c>
      <c r="T9" s="31" t="s">
        <v>68</v>
      </c>
      <c r="U9" s="29" t="s">
        <v>67</v>
      </c>
      <c r="V9" s="31" t="s">
        <v>68</v>
      </c>
      <c r="W9" s="29" t="s">
        <v>67</v>
      </c>
      <c r="X9" s="29" t="s">
        <v>67</v>
      </c>
      <c r="Y9" s="29" t="s">
        <v>67</v>
      </c>
      <c r="Z9" s="31" t="s">
        <v>68</v>
      </c>
      <c r="AA9" s="29" t="s">
        <v>67</v>
      </c>
      <c r="AB9" s="29" t="s">
        <v>67</v>
      </c>
      <c r="AC9" s="38" t="s">
        <v>68</v>
      </c>
      <c r="AD9" s="41" t="s">
        <v>67</v>
      </c>
      <c r="AE9" s="31"/>
      <c r="AF9" s="31"/>
      <c r="AG9" s="31"/>
      <c r="AH9" s="31"/>
      <c r="AI9" s="29" t="s">
        <v>67</v>
      </c>
      <c r="AJ9" s="32" t="s">
        <v>67</v>
      </c>
      <c r="AK9" s="31" t="s">
        <v>68</v>
      </c>
      <c r="AL9" s="29" t="s">
        <v>67</v>
      </c>
      <c r="AM9" s="29" t="s">
        <v>67</v>
      </c>
      <c r="AN9" s="29" t="s">
        <v>67</v>
      </c>
      <c r="AO9" s="29" t="s">
        <v>67</v>
      </c>
      <c r="AP9" s="29" t="s">
        <v>67</v>
      </c>
      <c r="AQ9" s="31" t="s">
        <v>68</v>
      </c>
      <c r="AR9" s="29" t="s">
        <v>67</v>
      </c>
      <c r="AS9" s="29" t="s">
        <v>67</v>
      </c>
      <c r="AT9" s="29" t="s">
        <v>67</v>
      </c>
      <c r="AU9" s="31" t="s">
        <v>68</v>
      </c>
      <c r="AV9" s="30" t="s">
        <v>67</v>
      </c>
      <c r="AW9" s="30" t="s">
        <v>67</v>
      </c>
      <c r="AX9" s="31"/>
      <c r="AY9" s="31"/>
      <c r="AZ9" s="31"/>
      <c r="BA9" s="31"/>
      <c r="BB9" s="31"/>
      <c r="BC9" s="31"/>
      <c r="BD9" s="31"/>
    </row>
    <row r="10" spans="1:58" s="9" customFormat="1" ht="18" customHeight="1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1" t="s">
        <v>93</v>
      </c>
      <c r="N10" s="61" t="s">
        <v>88</v>
      </c>
      <c r="O10" s="61" t="s">
        <v>94</v>
      </c>
      <c r="P10" s="61" t="s">
        <v>95</v>
      </c>
      <c r="Q10" s="62">
        <v>45156</v>
      </c>
      <c r="R10" s="46"/>
      <c r="S10" s="46"/>
      <c r="T10" s="46"/>
      <c r="U10" s="44" t="s">
        <v>96</v>
      </c>
      <c r="V10" s="46"/>
      <c r="W10" s="44" t="s">
        <v>88</v>
      </c>
      <c r="X10" s="44"/>
      <c r="Y10" s="44" t="s">
        <v>90</v>
      </c>
      <c r="Z10" s="44" t="s">
        <v>90</v>
      </c>
      <c r="AA10" s="44">
        <v>1</v>
      </c>
      <c r="AB10" s="42">
        <v>1</v>
      </c>
      <c r="AC10" s="47" t="s">
        <v>97</v>
      </c>
      <c r="AD10" s="48" t="s">
        <v>98</v>
      </c>
      <c r="AE10" s="43"/>
      <c r="AF10" s="43"/>
      <c r="AG10" s="43"/>
      <c r="AH10" s="43"/>
      <c r="AI10" s="55"/>
      <c r="AJ10" s="52"/>
      <c r="AK10" s="56"/>
      <c r="AL10" s="46"/>
      <c r="AM10" s="46"/>
      <c r="AN10" s="46"/>
      <c r="AO10" s="46"/>
      <c r="AP10" s="46"/>
      <c r="AQ10" s="46"/>
      <c r="AR10" s="49"/>
      <c r="AS10" s="50"/>
      <c r="AT10" s="52"/>
      <c r="AU10" s="53"/>
      <c r="AV10" s="58"/>
      <c r="AW10" s="58"/>
      <c r="AX10" s="54" t="s">
        <v>69</v>
      </c>
      <c r="AY10" s="43" t="s">
        <v>70</v>
      </c>
      <c r="AZ10" s="43" t="s">
        <v>70</v>
      </c>
      <c r="BA10" s="43" t="s">
        <v>71</v>
      </c>
      <c r="BB10" s="43" t="s">
        <v>69</v>
      </c>
      <c r="BC10" s="51">
        <v>31</v>
      </c>
      <c r="BD10" s="43" t="s">
        <v>70</v>
      </c>
      <c r="BE10" s="9">
        <f>ROW()-ROW($BE$9)</f>
        <v>1</v>
      </c>
      <c r="BF10" s="9" t="str">
        <f>CONCATENATE(AB10,".",AD10,".",AJ10)</f>
        <v>1.BAKUNG - JAMBLANG.</v>
      </c>
    </row>
    <row r="11" spans="1:58" s="9" customFormat="1" ht="18" customHeight="1">
      <c r="A11" s="60"/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 t="s">
        <v>93</v>
      </c>
      <c r="N11" s="44"/>
      <c r="O11" s="44"/>
      <c r="P11" s="44"/>
      <c r="Q11" s="45"/>
      <c r="R11" s="46"/>
      <c r="S11" s="46"/>
      <c r="T11" s="46"/>
      <c r="U11" s="44" t="s">
        <v>96</v>
      </c>
      <c r="V11" s="46"/>
      <c r="W11" s="44"/>
      <c r="X11" s="44"/>
      <c r="Y11" s="44"/>
      <c r="Z11" s="44"/>
      <c r="AA11" s="44"/>
      <c r="AB11" s="42"/>
      <c r="AC11" s="47" t="s">
        <v>97</v>
      </c>
      <c r="AD11" s="48"/>
      <c r="AE11" s="43"/>
      <c r="AF11" s="43"/>
      <c r="AG11" s="43"/>
      <c r="AH11" s="43"/>
      <c r="AI11" s="55"/>
      <c r="AJ11" s="52"/>
      <c r="AK11" s="56"/>
      <c r="AL11" s="46"/>
      <c r="AM11" s="46"/>
      <c r="AN11" s="46"/>
      <c r="AO11" s="46"/>
      <c r="AP11" s="46"/>
      <c r="AQ11" s="46"/>
      <c r="AR11" s="49"/>
      <c r="AS11" s="50"/>
      <c r="AT11" s="52"/>
      <c r="AU11" s="53"/>
      <c r="AV11" s="58"/>
      <c r="AW11" s="58"/>
      <c r="AX11" s="54" t="s">
        <v>69</v>
      </c>
      <c r="AY11" s="43" t="s">
        <v>70</v>
      </c>
      <c r="AZ11" s="43" t="s">
        <v>70</v>
      </c>
      <c r="BA11" s="43" t="s">
        <v>71</v>
      </c>
      <c r="BB11" s="43" t="s">
        <v>69</v>
      </c>
      <c r="BC11" s="51">
        <v>31</v>
      </c>
      <c r="BD11" s="43" t="s">
        <v>70</v>
      </c>
      <c r="BE11" s="9">
        <f t="shared" ref="BE11" si="1">ROW()-ROW($BE$9)</f>
        <v>2</v>
      </c>
      <c r="BF11" s="9" t="str">
        <f t="shared" ref="BF11:BF74" si="2">CONCATENATE(AB11,".",AD11,".",AJ11)</f>
        <v>..</v>
      </c>
    </row>
    <row r="12" spans="1:58" s="9" customFormat="1" ht="18" customHeight="1">
      <c r="A12" s="60"/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1" t="s">
        <v>93</v>
      </c>
      <c r="N12" s="44"/>
      <c r="O12" s="44"/>
      <c r="P12" s="44"/>
      <c r="Q12" s="45"/>
      <c r="R12" s="46"/>
      <c r="S12" s="46"/>
      <c r="T12" s="46"/>
      <c r="U12" s="44" t="s">
        <v>96</v>
      </c>
      <c r="V12" s="46"/>
      <c r="W12" s="44"/>
      <c r="X12" s="44"/>
      <c r="Y12" s="44"/>
      <c r="Z12" s="44"/>
      <c r="AA12" s="44"/>
      <c r="AB12" s="42"/>
      <c r="AC12" s="47" t="s">
        <v>97</v>
      </c>
      <c r="AD12" s="48"/>
      <c r="AE12" s="43"/>
      <c r="AF12" s="43"/>
      <c r="AG12" s="43"/>
      <c r="AH12" s="43"/>
      <c r="AI12" s="55"/>
      <c r="AJ12" s="52"/>
      <c r="AK12" s="56"/>
      <c r="AL12" s="46"/>
      <c r="AM12" s="46"/>
      <c r="AN12" s="46"/>
      <c r="AO12" s="46"/>
      <c r="AP12" s="46"/>
      <c r="AQ12" s="46"/>
      <c r="AR12" s="49"/>
      <c r="AS12" s="50"/>
      <c r="AT12" s="52"/>
      <c r="AU12" s="53"/>
      <c r="AV12" s="58"/>
      <c r="AW12" s="58"/>
      <c r="AX12" s="54" t="s">
        <v>69</v>
      </c>
      <c r="AY12" s="43" t="s">
        <v>70</v>
      </c>
      <c r="AZ12" s="43" t="s">
        <v>70</v>
      </c>
      <c r="BA12" s="43" t="s">
        <v>71</v>
      </c>
      <c r="BB12" s="43" t="s">
        <v>69</v>
      </c>
      <c r="BC12" s="51">
        <v>31</v>
      </c>
      <c r="BD12" s="43" t="s">
        <v>70</v>
      </c>
      <c r="BE12" s="9">
        <f t="shared" ref="BE12:BE80" si="3">ROW()-ROW($BE$9)</f>
        <v>3</v>
      </c>
      <c r="BF12" s="9" t="str">
        <f t="shared" si="2"/>
        <v>..</v>
      </c>
    </row>
    <row r="13" spans="1:58" s="9" customFormat="1" ht="18" customHeight="1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1" t="s">
        <v>93</v>
      </c>
      <c r="N13" s="44"/>
      <c r="O13" s="44"/>
      <c r="P13" s="44"/>
      <c r="Q13" s="45"/>
      <c r="R13" s="46"/>
      <c r="S13" s="46"/>
      <c r="T13" s="46"/>
      <c r="U13" s="44" t="s">
        <v>96</v>
      </c>
      <c r="V13" s="46"/>
      <c r="W13" s="44"/>
      <c r="X13" s="44"/>
      <c r="Y13" s="44"/>
      <c r="Z13" s="44"/>
      <c r="AA13" s="44"/>
      <c r="AB13" s="42"/>
      <c r="AC13" s="47" t="s">
        <v>97</v>
      </c>
      <c r="AD13" s="48"/>
      <c r="AE13" s="43"/>
      <c r="AF13" s="43"/>
      <c r="AG13" s="43"/>
      <c r="AH13" s="43"/>
      <c r="AI13" s="55"/>
      <c r="AJ13" s="52"/>
      <c r="AK13" s="56"/>
      <c r="AL13" s="46"/>
      <c r="AM13" s="46"/>
      <c r="AN13" s="46"/>
      <c r="AO13" s="46"/>
      <c r="AP13" s="46"/>
      <c r="AQ13" s="46"/>
      <c r="AR13" s="49"/>
      <c r="AS13" s="50"/>
      <c r="AT13" s="52"/>
      <c r="AU13" s="53"/>
      <c r="AV13" s="58"/>
      <c r="AW13" s="58"/>
      <c r="AX13" s="54" t="s">
        <v>69</v>
      </c>
      <c r="AY13" s="43" t="s">
        <v>70</v>
      </c>
      <c r="AZ13" s="43" t="s">
        <v>70</v>
      </c>
      <c r="BA13" s="43" t="s">
        <v>71</v>
      </c>
      <c r="BB13" s="43" t="s">
        <v>69</v>
      </c>
      <c r="BC13" s="51">
        <v>31</v>
      </c>
      <c r="BD13" s="43" t="s">
        <v>70</v>
      </c>
      <c r="BE13" s="9">
        <f t="shared" si="3"/>
        <v>4</v>
      </c>
      <c r="BF13" s="9" t="str">
        <f t="shared" si="2"/>
        <v>..</v>
      </c>
    </row>
    <row r="14" spans="1:58" s="9" customFormat="1" ht="18" customHeight="1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1" t="s">
        <v>93</v>
      </c>
      <c r="N14" s="44"/>
      <c r="O14" s="44"/>
      <c r="P14" s="44"/>
      <c r="Q14" s="45"/>
      <c r="R14" s="46"/>
      <c r="S14" s="46"/>
      <c r="T14" s="46"/>
      <c r="U14" s="44" t="s">
        <v>96</v>
      </c>
      <c r="V14" s="46"/>
      <c r="W14" s="44"/>
      <c r="X14" s="44"/>
      <c r="Y14" s="44"/>
      <c r="Z14" s="44"/>
      <c r="AA14" s="44"/>
      <c r="AB14" s="42"/>
      <c r="AC14" s="47" t="s">
        <v>97</v>
      </c>
      <c r="AD14" s="48"/>
      <c r="AE14" s="43"/>
      <c r="AF14" s="43"/>
      <c r="AG14" s="43"/>
      <c r="AH14" s="43"/>
      <c r="AI14" s="55"/>
      <c r="AJ14" s="52"/>
      <c r="AK14" s="56"/>
      <c r="AL14" s="46"/>
      <c r="AM14" s="46"/>
      <c r="AN14" s="46"/>
      <c r="AO14" s="46"/>
      <c r="AP14" s="46"/>
      <c r="AQ14" s="46"/>
      <c r="AR14" s="49"/>
      <c r="AS14" s="50"/>
      <c r="AT14" s="52"/>
      <c r="AU14" s="53"/>
      <c r="AV14" s="58"/>
      <c r="AW14" s="58"/>
      <c r="AX14" s="54" t="s">
        <v>69</v>
      </c>
      <c r="AY14" s="43" t="s">
        <v>70</v>
      </c>
      <c r="AZ14" s="43" t="s">
        <v>70</v>
      </c>
      <c r="BA14" s="43" t="s">
        <v>71</v>
      </c>
      <c r="BB14" s="43" t="s">
        <v>69</v>
      </c>
      <c r="BC14" s="51">
        <v>31</v>
      </c>
      <c r="BD14" s="43" t="s">
        <v>70</v>
      </c>
      <c r="BE14" s="9">
        <f t="shared" si="3"/>
        <v>5</v>
      </c>
      <c r="BF14" s="9" t="str">
        <f t="shared" si="2"/>
        <v>..</v>
      </c>
    </row>
    <row r="15" spans="1:58" s="9" customFormat="1" ht="18" customHeight="1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1" t="s">
        <v>93</v>
      </c>
      <c r="N15" s="44"/>
      <c r="O15" s="44"/>
      <c r="P15" s="44"/>
      <c r="Q15" s="45"/>
      <c r="R15" s="46"/>
      <c r="S15" s="46"/>
      <c r="T15" s="46"/>
      <c r="U15" s="44" t="s">
        <v>96</v>
      </c>
      <c r="V15" s="46"/>
      <c r="W15" s="44"/>
      <c r="X15" s="44"/>
      <c r="Y15" s="44"/>
      <c r="Z15" s="44"/>
      <c r="AA15" s="44"/>
      <c r="AB15" s="42"/>
      <c r="AC15" s="47" t="s">
        <v>97</v>
      </c>
      <c r="AD15" s="48"/>
      <c r="AE15" s="43"/>
      <c r="AF15" s="43"/>
      <c r="AG15" s="43"/>
      <c r="AH15" s="43"/>
      <c r="AI15" s="55"/>
      <c r="AJ15" s="52"/>
      <c r="AK15" s="56"/>
      <c r="AL15" s="46"/>
      <c r="AM15" s="46"/>
      <c r="AN15" s="46"/>
      <c r="AO15" s="46"/>
      <c r="AP15" s="46"/>
      <c r="AQ15" s="46"/>
      <c r="AR15" s="49"/>
      <c r="AS15" s="50"/>
      <c r="AT15" s="52"/>
      <c r="AU15" s="53"/>
      <c r="AV15" s="58"/>
      <c r="AW15" s="58"/>
      <c r="AX15" s="54" t="s">
        <v>69</v>
      </c>
      <c r="AY15" s="43" t="s">
        <v>70</v>
      </c>
      <c r="AZ15" s="43" t="s">
        <v>70</v>
      </c>
      <c r="BA15" s="43" t="s">
        <v>71</v>
      </c>
      <c r="BB15" s="43" t="s">
        <v>69</v>
      </c>
      <c r="BC15" s="51">
        <v>31</v>
      </c>
      <c r="BD15" s="43" t="s">
        <v>70</v>
      </c>
      <c r="BE15" s="9">
        <f t="shared" si="3"/>
        <v>6</v>
      </c>
      <c r="BF15" s="9" t="str">
        <f t="shared" si="2"/>
        <v>..</v>
      </c>
    </row>
    <row r="16" spans="1:58" s="9" customFormat="1" ht="18" customHeight="1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1" t="s">
        <v>93</v>
      </c>
      <c r="N16" s="44"/>
      <c r="O16" s="44"/>
      <c r="P16" s="44"/>
      <c r="Q16" s="45"/>
      <c r="R16" s="46"/>
      <c r="S16" s="46"/>
      <c r="T16" s="46"/>
      <c r="U16" s="44" t="s">
        <v>96</v>
      </c>
      <c r="V16" s="46"/>
      <c r="W16" s="44"/>
      <c r="X16" s="44"/>
      <c r="Y16" s="44"/>
      <c r="Z16" s="44"/>
      <c r="AA16" s="44"/>
      <c r="AB16" s="42"/>
      <c r="AC16" s="47" t="s">
        <v>97</v>
      </c>
      <c r="AD16" s="48"/>
      <c r="AE16" s="43"/>
      <c r="AF16" s="43"/>
      <c r="AG16" s="43"/>
      <c r="AH16" s="43"/>
      <c r="AI16" s="55"/>
      <c r="AJ16" s="52"/>
      <c r="AK16" s="56"/>
      <c r="AL16" s="46"/>
      <c r="AM16" s="46"/>
      <c r="AN16" s="46"/>
      <c r="AO16" s="46"/>
      <c r="AP16" s="46"/>
      <c r="AQ16" s="46"/>
      <c r="AR16" s="49"/>
      <c r="AS16" s="50"/>
      <c r="AT16" s="52"/>
      <c r="AU16" s="53"/>
      <c r="AV16" s="58"/>
      <c r="AW16" s="58"/>
      <c r="AX16" s="54" t="s">
        <v>69</v>
      </c>
      <c r="AY16" s="43" t="s">
        <v>70</v>
      </c>
      <c r="AZ16" s="43" t="s">
        <v>70</v>
      </c>
      <c r="BA16" s="43" t="s">
        <v>71</v>
      </c>
      <c r="BB16" s="43" t="s">
        <v>69</v>
      </c>
      <c r="BC16" s="51">
        <v>31</v>
      </c>
      <c r="BD16" s="43" t="s">
        <v>70</v>
      </c>
      <c r="BE16" s="9">
        <f t="shared" si="3"/>
        <v>7</v>
      </c>
      <c r="BF16" s="9" t="str">
        <f t="shared" si="2"/>
        <v>..</v>
      </c>
    </row>
    <row r="17" spans="1:58" s="9" customFormat="1" ht="18" customHeight="1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1" t="s">
        <v>93</v>
      </c>
      <c r="N17" s="44"/>
      <c r="O17" s="44"/>
      <c r="P17" s="44"/>
      <c r="Q17" s="45"/>
      <c r="R17" s="46"/>
      <c r="S17" s="46"/>
      <c r="T17" s="46"/>
      <c r="U17" s="44" t="s">
        <v>96</v>
      </c>
      <c r="V17" s="46"/>
      <c r="W17" s="44"/>
      <c r="X17" s="44"/>
      <c r="Y17" s="44"/>
      <c r="Z17" s="44"/>
      <c r="AA17" s="44"/>
      <c r="AB17" s="42"/>
      <c r="AC17" s="47" t="s">
        <v>97</v>
      </c>
      <c r="AD17" s="48"/>
      <c r="AE17" s="43"/>
      <c r="AF17" s="43"/>
      <c r="AG17" s="43"/>
      <c r="AH17" s="43"/>
      <c r="AI17" s="55"/>
      <c r="AJ17" s="52"/>
      <c r="AK17" s="56"/>
      <c r="AL17" s="46"/>
      <c r="AM17" s="46"/>
      <c r="AN17" s="46"/>
      <c r="AO17" s="46"/>
      <c r="AP17" s="46"/>
      <c r="AQ17" s="46"/>
      <c r="AR17" s="49"/>
      <c r="AS17" s="50"/>
      <c r="AT17" s="52"/>
      <c r="AU17" s="53"/>
      <c r="AV17" s="58"/>
      <c r="AW17" s="58"/>
      <c r="AX17" s="54" t="s">
        <v>69</v>
      </c>
      <c r="AY17" s="43" t="s">
        <v>70</v>
      </c>
      <c r="AZ17" s="43" t="s">
        <v>70</v>
      </c>
      <c r="BA17" s="43" t="s">
        <v>71</v>
      </c>
      <c r="BB17" s="43" t="s">
        <v>69</v>
      </c>
      <c r="BC17" s="51">
        <v>31</v>
      </c>
      <c r="BD17" s="43" t="s">
        <v>70</v>
      </c>
      <c r="BE17" s="9">
        <f t="shared" si="3"/>
        <v>8</v>
      </c>
      <c r="BF17" s="9" t="str">
        <f t="shared" si="2"/>
        <v>..</v>
      </c>
    </row>
    <row r="18" spans="1:58" s="9" customFormat="1" ht="18" customHeight="1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1" t="s">
        <v>93</v>
      </c>
      <c r="N18" s="44"/>
      <c r="O18" s="44"/>
      <c r="P18" s="44"/>
      <c r="Q18" s="45"/>
      <c r="R18" s="46"/>
      <c r="S18" s="46"/>
      <c r="T18" s="46"/>
      <c r="U18" s="44" t="s">
        <v>96</v>
      </c>
      <c r="V18" s="46"/>
      <c r="W18" s="44"/>
      <c r="X18" s="44"/>
      <c r="Y18" s="44"/>
      <c r="Z18" s="44"/>
      <c r="AA18" s="44"/>
      <c r="AB18" s="42"/>
      <c r="AC18" s="47" t="s">
        <v>97</v>
      </c>
      <c r="AD18" s="48"/>
      <c r="AE18" s="43"/>
      <c r="AF18" s="43"/>
      <c r="AG18" s="43"/>
      <c r="AH18" s="43"/>
      <c r="AI18" s="55"/>
      <c r="AJ18" s="52"/>
      <c r="AK18" s="56"/>
      <c r="AL18" s="46"/>
      <c r="AM18" s="46"/>
      <c r="AN18" s="46"/>
      <c r="AO18" s="46"/>
      <c r="AP18" s="46"/>
      <c r="AQ18" s="46"/>
      <c r="AR18" s="49"/>
      <c r="AS18" s="50"/>
      <c r="AT18" s="52"/>
      <c r="AU18" s="53"/>
      <c r="AV18" s="58"/>
      <c r="AW18" s="58"/>
      <c r="AX18" s="54" t="s">
        <v>69</v>
      </c>
      <c r="AY18" s="43" t="s">
        <v>70</v>
      </c>
      <c r="AZ18" s="43" t="s">
        <v>70</v>
      </c>
      <c r="BA18" s="43" t="s">
        <v>71</v>
      </c>
      <c r="BB18" s="43" t="s">
        <v>69</v>
      </c>
      <c r="BC18" s="51">
        <v>31</v>
      </c>
      <c r="BD18" s="43" t="s">
        <v>70</v>
      </c>
      <c r="BE18" s="9">
        <f t="shared" si="3"/>
        <v>9</v>
      </c>
      <c r="BF18" s="9" t="str">
        <f t="shared" si="2"/>
        <v>..</v>
      </c>
    </row>
    <row r="19" spans="1:58" s="9" customFormat="1" ht="18" customHeight="1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1" t="s">
        <v>93</v>
      </c>
      <c r="N19" s="44"/>
      <c r="O19" s="44"/>
      <c r="P19" s="44"/>
      <c r="Q19" s="45"/>
      <c r="R19" s="46"/>
      <c r="S19" s="46"/>
      <c r="T19" s="46"/>
      <c r="U19" s="44" t="s">
        <v>96</v>
      </c>
      <c r="V19" s="46"/>
      <c r="W19" s="44"/>
      <c r="X19" s="44"/>
      <c r="Y19" s="44"/>
      <c r="Z19" s="44"/>
      <c r="AA19" s="44"/>
      <c r="AB19" s="42"/>
      <c r="AC19" s="47" t="s">
        <v>97</v>
      </c>
      <c r="AD19" s="48"/>
      <c r="AE19" s="43"/>
      <c r="AF19" s="43"/>
      <c r="AG19" s="43"/>
      <c r="AH19" s="43"/>
      <c r="AI19" s="55"/>
      <c r="AJ19" s="52"/>
      <c r="AK19" s="56"/>
      <c r="AL19" s="46"/>
      <c r="AM19" s="46"/>
      <c r="AN19" s="46"/>
      <c r="AO19" s="46"/>
      <c r="AP19" s="46"/>
      <c r="AQ19" s="46"/>
      <c r="AR19" s="49"/>
      <c r="AS19" s="50"/>
      <c r="AT19" s="52"/>
      <c r="AU19" s="53"/>
      <c r="AV19" s="58"/>
      <c r="AW19" s="58"/>
      <c r="AX19" s="54" t="s">
        <v>69</v>
      </c>
      <c r="AY19" s="43" t="s">
        <v>70</v>
      </c>
      <c r="AZ19" s="43" t="s">
        <v>70</v>
      </c>
      <c r="BA19" s="43" t="s">
        <v>71</v>
      </c>
      <c r="BB19" s="43" t="s">
        <v>69</v>
      </c>
      <c r="BC19" s="51">
        <v>31</v>
      </c>
      <c r="BD19" s="43" t="s">
        <v>70</v>
      </c>
      <c r="BE19" s="9">
        <f t="shared" si="3"/>
        <v>10</v>
      </c>
      <c r="BF19" s="9" t="str">
        <f t="shared" si="2"/>
        <v>..</v>
      </c>
    </row>
    <row r="20" spans="1:58" s="9" customFormat="1" ht="18" customHeight="1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1" t="s">
        <v>93</v>
      </c>
      <c r="N20" s="44"/>
      <c r="O20" s="44"/>
      <c r="P20" s="44"/>
      <c r="Q20" s="45"/>
      <c r="R20" s="46"/>
      <c r="S20" s="46"/>
      <c r="T20" s="46"/>
      <c r="U20" s="44" t="s">
        <v>96</v>
      </c>
      <c r="V20" s="46"/>
      <c r="W20" s="44"/>
      <c r="X20" s="44"/>
      <c r="Y20" s="44"/>
      <c r="Z20" s="44"/>
      <c r="AA20" s="44"/>
      <c r="AB20" s="42"/>
      <c r="AC20" s="47" t="s">
        <v>97</v>
      </c>
      <c r="AD20" s="48"/>
      <c r="AE20" s="43"/>
      <c r="AF20" s="43"/>
      <c r="AG20" s="43"/>
      <c r="AH20" s="43"/>
      <c r="AI20" s="55"/>
      <c r="AJ20" s="52"/>
      <c r="AK20" s="56"/>
      <c r="AL20" s="46"/>
      <c r="AM20" s="46"/>
      <c r="AN20" s="46"/>
      <c r="AO20" s="46"/>
      <c r="AP20" s="46"/>
      <c r="AQ20" s="46"/>
      <c r="AR20" s="49"/>
      <c r="AS20" s="50"/>
      <c r="AT20" s="52"/>
      <c r="AU20" s="53"/>
      <c r="AV20" s="58"/>
      <c r="AW20" s="58"/>
      <c r="AX20" s="54" t="s">
        <v>69</v>
      </c>
      <c r="AY20" s="43" t="s">
        <v>70</v>
      </c>
      <c r="AZ20" s="43" t="s">
        <v>70</v>
      </c>
      <c r="BA20" s="43" t="s">
        <v>71</v>
      </c>
      <c r="BB20" s="43" t="s">
        <v>69</v>
      </c>
      <c r="BC20" s="51">
        <v>31</v>
      </c>
      <c r="BD20" s="43" t="s">
        <v>70</v>
      </c>
      <c r="BE20" s="9">
        <f t="shared" si="3"/>
        <v>11</v>
      </c>
      <c r="BF20" s="9" t="str">
        <f t="shared" si="2"/>
        <v>..</v>
      </c>
    </row>
    <row r="21" spans="1:58" s="9" customFormat="1" ht="18" customHeight="1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1" t="s">
        <v>93</v>
      </c>
      <c r="N21" s="44"/>
      <c r="O21" s="44"/>
      <c r="P21" s="44"/>
      <c r="Q21" s="45"/>
      <c r="R21" s="46"/>
      <c r="S21" s="46"/>
      <c r="T21" s="46"/>
      <c r="U21" s="44" t="s">
        <v>96</v>
      </c>
      <c r="V21" s="46"/>
      <c r="W21" s="44"/>
      <c r="X21" s="44"/>
      <c r="Y21" s="44"/>
      <c r="Z21" s="44"/>
      <c r="AA21" s="44"/>
      <c r="AB21" s="42"/>
      <c r="AC21" s="47" t="s">
        <v>97</v>
      </c>
      <c r="AD21" s="48"/>
      <c r="AE21" s="43"/>
      <c r="AF21" s="43"/>
      <c r="AG21" s="43"/>
      <c r="AH21" s="43"/>
      <c r="AI21" s="55"/>
      <c r="AJ21" s="52"/>
      <c r="AK21" s="56"/>
      <c r="AL21" s="46"/>
      <c r="AM21" s="46"/>
      <c r="AN21" s="46"/>
      <c r="AO21" s="46"/>
      <c r="AP21" s="46"/>
      <c r="AQ21" s="46"/>
      <c r="AR21" s="49"/>
      <c r="AS21" s="50"/>
      <c r="AT21" s="52"/>
      <c r="AU21" s="53"/>
      <c r="AV21" s="58"/>
      <c r="AW21" s="58"/>
      <c r="AX21" s="54" t="s">
        <v>69</v>
      </c>
      <c r="AY21" s="43" t="s">
        <v>70</v>
      </c>
      <c r="AZ21" s="43" t="s">
        <v>70</v>
      </c>
      <c r="BA21" s="43" t="s">
        <v>71</v>
      </c>
      <c r="BB21" s="43" t="s">
        <v>69</v>
      </c>
      <c r="BC21" s="51">
        <v>31</v>
      </c>
      <c r="BD21" s="43" t="s">
        <v>70</v>
      </c>
      <c r="BE21" s="9">
        <f t="shared" si="3"/>
        <v>12</v>
      </c>
      <c r="BF21" s="9" t="str">
        <f t="shared" si="2"/>
        <v>..</v>
      </c>
    </row>
    <row r="22" spans="1:58" s="9" customFormat="1" ht="18" customHeight="1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1" t="s">
        <v>93</v>
      </c>
      <c r="N22" s="44"/>
      <c r="O22" s="44"/>
      <c r="P22" s="44"/>
      <c r="Q22" s="45"/>
      <c r="R22" s="46"/>
      <c r="S22" s="46"/>
      <c r="T22" s="46"/>
      <c r="U22" s="44" t="s">
        <v>96</v>
      </c>
      <c r="V22" s="46"/>
      <c r="W22" s="44"/>
      <c r="X22" s="44"/>
      <c r="Y22" s="44"/>
      <c r="Z22" s="44"/>
      <c r="AA22" s="44"/>
      <c r="AB22" s="42"/>
      <c r="AC22" s="47" t="s">
        <v>97</v>
      </c>
      <c r="AD22" s="48"/>
      <c r="AE22" s="43"/>
      <c r="AF22" s="43"/>
      <c r="AG22" s="43"/>
      <c r="AH22" s="43"/>
      <c r="AI22" s="55"/>
      <c r="AJ22" s="52"/>
      <c r="AK22" s="56"/>
      <c r="AL22" s="46"/>
      <c r="AM22" s="46"/>
      <c r="AN22" s="46"/>
      <c r="AO22" s="46"/>
      <c r="AP22" s="46"/>
      <c r="AQ22" s="46"/>
      <c r="AR22" s="49"/>
      <c r="AS22" s="50"/>
      <c r="AT22" s="52"/>
      <c r="AU22" s="53"/>
      <c r="AV22" s="58"/>
      <c r="AW22" s="58"/>
      <c r="AX22" s="54" t="s">
        <v>69</v>
      </c>
      <c r="AY22" s="43" t="s">
        <v>70</v>
      </c>
      <c r="AZ22" s="43" t="s">
        <v>70</v>
      </c>
      <c r="BA22" s="43" t="s">
        <v>71</v>
      </c>
      <c r="BB22" s="43" t="s">
        <v>69</v>
      </c>
      <c r="BC22" s="51">
        <v>31</v>
      </c>
      <c r="BD22" s="43" t="s">
        <v>70</v>
      </c>
      <c r="BE22" s="9">
        <f t="shared" si="3"/>
        <v>13</v>
      </c>
      <c r="BF22" s="9" t="str">
        <f t="shared" si="2"/>
        <v>..</v>
      </c>
    </row>
    <row r="23" spans="1:58" s="9" customFormat="1" ht="18" customHeight="1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1" t="s">
        <v>93</v>
      </c>
      <c r="N23" s="44"/>
      <c r="O23" s="44"/>
      <c r="P23" s="44"/>
      <c r="Q23" s="45"/>
      <c r="R23" s="46"/>
      <c r="S23" s="46"/>
      <c r="T23" s="46"/>
      <c r="U23" s="44" t="s">
        <v>96</v>
      </c>
      <c r="V23" s="46"/>
      <c r="W23" s="44"/>
      <c r="X23" s="44"/>
      <c r="Y23" s="44"/>
      <c r="Z23" s="44"/>
      <c r="AA23" s="44"/>
      <c r="AB23" s="42"/>
      <c r="AC23" s="47" t="s">
        <v>97</v>
      </c>
      <c r="AD23" s="48"/>
      <c r="AE23" s="43"/>
      <c r="AF23" s="43"/>
      <c r="AG23" s="43"/>
      <c r="AH23" s="43"/>
      <c r="AI23" s="55"/>
      <c r="AJ23" s="52"/>
      <c r="AK23" s="56"/>
      <c r="AL23" s="46"/>
      <c r="AM23" s="46"/>
      <c r="AN23" s="46"/>
      <c r="AO23" s="46"/>
      <c r="AP23" s="46"/>
      <c r="AQ23" s="46"/>
      <c r="AR23" s="49"/>
      <c r="AS23" s="50"/>
      <c r="AT23" s="52"/>
      <c r="AU23" s="53"/>
      <c r="AV23" s="58"/>
      <c r="AW23" s="58"/>
      <c r="AX23" s="54" t="s">
        <v>69</v>
      </c>
      <c r="AY23" s="43" t="s">
        <v>70</v>
      </c>
      <c r="AZ23" s="43" t="s">
        <v>70</v>
      </c>
      <c r="BA23" s="43" t="s">
        <v>71</v>
      </c>
      <c r="BB23" s="43" t="s">
        <v>69</v>
      </c>
      <c r="BC23" s="51">
        <v>31</v>
      </c>
      <c r="BD23" s="43" t="s">
        <v>70</v>
      </c>
      <c r="BE23" s="9">
        <f t="shared" si="3"/>
        <v>14</v>
      </c>
      <c r="BF23" s="9" t="str">
        <f t="shared" si="2"/>
        <v>..</v>
      </c>
    </row>
    <row r="24" spans="1:58" s="9" customFormat="1" ht="18" customHeight="1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1" t="s">
        <v>93</v>
      </c>
      <c r="N24" s="44"/>
      <c r="O24" s="44"/>
      <c r="P24" s="44"/>
      <c r="Q24" s="45"/>
      <c r="R24" s="46"/>
      <c r="S24" s="46"/>
      <c r="T24" s="46"/>
      <c r="U24" s="44" t="s">
        <v>96</v>
      </c>
      <c r="V24" s="46"/>
      <c r="W24" s="44"/>
      <c r="X24" s="44"/>
      <c r="Y24" s="44"/>
      <c r="Z24" s="44"/>
      <c r="AA24" s="44"/>
      <c r="AB24" s="42"/>
      <c r="AC24" s="47" t="s">
        <v>97</v>
      </c>
      <c r="AD24" s="48"/>
      <c r="AE24" s="43"/>
      <c r="AF24" s="43"/>
      <c r="AG24" s="43"/>
      <c r="AH24" s="43"/>
      <c r="AI24" s="55"/>
      <c r="AJ24" s="52"/>
      <c r="AK24" s="56"/>
      <c r="AL24" s="46"/>
      <c r="AM24" s="46"/>
      <c r="AN24" s="46"/>
      <c r="AO24" s="46"/>
      <c r="AP24" s="46"/>
      <c r="AQ24" s="46"/>
      <c r="AR24" s="49"/>
      <c r="AS24" s="50"/>
      <c r="AT24" s="52"/>
      <c r="AU24" s="53"/>
      <c r="AV24" s="58"/>
      <c r="AW24" s="58"/>
      <c r="AX24" s="54" t="s">
        <v>69</v>
      </c>
      <c r="AY24" s="43" t="s">
        <v>70</v>
      </c>
      <c r="AZ24" s="43" t="s">
        <v>70</v>
      </c>
      <c r="BA24" s="43" t="s">
        <v>71</v>
      </c>
      <c r="BB24" s="43" t="s">
        <v>69</v>
      </c>
      <c r="BC24" s="51">
        <v>31</v>
      </c>
      <c r="BD24" s="43" t="s">
        <v>70</v>
      </c>
      <c r="BE24" s="9">
        <f t="shared" si="3"/>
        <v>15</v>
      </c>
      <c r="BF24" s="9" t="str">
        <f t="shared" si="2"/>
        <v>..</v>
      </c>
    </row>
    <row r="25" spans="1:58" s="9" customFormat="1" ht="18" customHeight="1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1" t="s">
        <v>93</v>
      </c>
      <c r="N25" s="44"/>
      <c r="O25" s="44"/>
      <c r="P25" s="44"/>
      <c r="Q25" s="45"/>
      <c r="R25" s="46"/>
      <c r="S25" s="46"/>
      <c r="T25" s="46"/>
      <c r="U25" s="44" t="s">
        <v>96</v>
      </c>
      <c r="V25" s="46"/>
      <c r="W25" s="44"/>
      <c r="X25" s="44"/>
      <c r="Y25" s="44"/>
      <c r="Z25" s="44"/>
      <c r="AA25" s="44"/>
      <c r="AB25" s="42"/>
      <c r="AC25" s="47" t="s">
        <v>97</v>
      </c>
      <c r="AD25" s="48"/>
      <c r="AE25" s="43"/>
      <c r="AF25" s="43"/>
      <c r="AG25" s="43"/>
      <c r="AH25" s="43"/>
      <c r="AI25" s="55"/>
      <c r="AJ25" s="52"/>
      <c r="AK25" s="56"/>
      <c r="AL25" s="46"/>
      <c r="AM25" s="46"/>
      <c r="AN25" s="46"/>
      <c r="AO25" s="46"/>
      <c r="AP25" s="46"/>
      <c r="AQ25" s="46"/>
      <c r="AR25" s="49"/>
      <c r="AS25" s="50"/>
      <c r="AT25" s="52"/>
      <c r="AU25" s="53"/>
      <c r="AV25" s="58"/>
      <c r="AW25" s="58"/>
      <c r="AX25" s="54" t="s">
        <v>69</v>
      </c>
      <c r="AY25" s="43" t="s">
        <v>70</v>
      </c>
      <c r="AZ25" s="43" t="s">
        <v>70</v>
      </c>
      <c r="BA25" s="43" t="s">
        <v>71</v>
      </c>
      <c r="BB25" s="43" t="s">
        <v>69</v>
      </c>
      <c r="BC25" s="51">
        <v>31</v>
      </c>
      <c r="BD25" s="43" t="s">
        <v>70</v>
      </c>
      <c r="BE25" s="9">
        <f t="shared" si="3"/>
        <v>16</v>
      </c>
      <c r="BF25" s="9" t="str">
        <f t="shared" si="2"/>
        <v>..</v>
      </c>
    </row>
    <row r="26" spans="1:58" s="9" customFormat="1" ht="18" customHeight="1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1" t="s">
        <v>93</v>
      </c>
      <c r="N26" s="44"/>
      <c r="O26" s="44"/>
      <c r="P26" s="44"/>
      <c r="Q26" s="45"/>
      <c r="R26" s="46"/>
      <c r="S26" s="46"/>
      <c r="T26" s="46"/>
      <c r="U26" s="44" t="s">
        <v>96</v>
      </c>
      <c r="V26" s="46"/>
      <c r="W26" s="44"/>
      <c r="X26" s="44"/>
      <c r="Y26" s="44"/>
      <c r="Z26" s="44"/>
      <c r="AA26" s="44"/>
      <c r="AB26" s="42"/>
      <c r="AC26" s="47" t="s">
        <v>97</v>
      </c>
      <c r="AD26" s="48"/>
      <c r="AE26" s="43"/>
      <c r="AF26" s="43"/>
      <c r="AG26" s="43"/>
      <c r="AH26" s="43"/>
      <c r="AI26" s="55"/>
      <c r="AJ26" s="52"/>
      <c r="AK26" s="56"/>
      <c r="AL26" s="46"/>
      <c r="AM26" s="46"/>
      <c r="AN26" s="46"/>
      <c r="AO26" s="46"/>
      <c r="AP26" s="46"/>
      <c r="AQ26" s="46"/>
      <c r="AR26" s="49"/>
      <c r="AS26" s="50"/>
      <c r="AT26" s="52"/>
      <c r="AU26" s="53"/>
      <c r="AV26" s="58"/>
      <c r="AW26" s="58"/>
      <c r="AX26" s="54" t="s">
        <v>69</v>
      </c>
      <c r="AY26" s="43" t="s">
        <v>70</v>
      </c>
      <c r="AZ26" s="43" t="s">
        <v>70</v>
      </c>
      <c r="BA26" s="43" t="s">
        <v>71</v>
      </c>
      <c r="BB26" s="43" t="s">
        <v>69</v>
      </c>
      <c r="BC26" s="51">
        <v>31</v>
      </c>
      <c r="BD26" s="43" t="s">
        <v>70</v>
      </c>
      <c r="BE26" s="9">
        <f t="shared" si="3"/>
        <v>17</v>
      </c>
      <c r="BF26" s="9" t="str">
        <f t="shared" si="2"/>
        <v>..</v>
      </c>
    </row>
    <row r="27" spans="1:58" s="9" customFormat="1" ht="18" customHeight="1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1" t="s">
        <v>93</v>
      </c>
      <c r="N27" s="44"/>
      <c r="O27" s="44"/>
      <c r="P27" s="44"/>
      <c r="Q27" s="45"/>
      <c r="R27" s="46"/>
      <c r="S27" s="46"/>
      <c r="T27" s="46"/>
      <c r="U27" s="44" t="s">
        <v>96</v>
      </c>
      <c r="V27" s="46"/>
      <c r="W27" s="44"/>
      <c r="X27" s="44"/>
      <c r="Y27" s="44"/>
      <c r="Z27" s="44"/>
      <c r="AA27" s="44"/>
      <c r="AB27" s="42"/>
      <c r="AC27" s="47" t="s">
        <v>97</v>
      </c>
      <c r="AD27" s="48"/>
      <c r="AE27" s="43"/>
      <c r="AF27" s="43"/>
      <c r="AG27" s="43"/>
      <c r="AH27" s="43"/>
      <c r="AI27" s="55"/>
      <c r="AJ27" s="52"/>
      <c r="AK27" s="56"/>
      <c r="AL27" s="46"/>
      <c r="AM27" s="46"/>
      <c r="AN27" s="46"/>
      <c r="AO27" s="46"/>
      <c r="AP27" s="46"/>
      <c r="AQ27" s="46"/>
      <c r="AR27" s="49"/>
      <c r="AS27" s="50"/>
      <c r="AT27" s="52"/>
      <c r="AU27" s="53"/>
      <c r="AV27" s="58"/>
      <c r="AW27" s="58"/>
      <c r="AX27" s="54" t="s">
        <v>69</v>
      </c>
      <c r="AY27" s="43" t="s">
        <v>70</v>
      </c>
      <c r="AZ27" s="43" t="s">
        <v>70</v>
      </c>
      <c r="BA27" s="43" t="s">
        <v>71</v>
      </c>
      <c r="BB27" s="43" t="s">
        <v>69</v>
      </c>
      <c r="BC27" s="51">
        <v>31</v>
      </c>
      <c r="BD27" s="43" t="s">
        <v>70</v>
      </c>
      <c r="BE27" s="9">
        <f t="shared" si="3"/>
        <v>18</v>
      </c>
      <c r="BF27" s="9" t="str">
        <f t="shared" si="2"/>
        <v>..</v>
      </c>
    </row>
    <row r="28" spans="1:58" s="9" customFormat="1" ht="18" customHeight="1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1" t="s">
        <v>93</v>
      </c>
      <c r="N28" s="44"/>
      <c r="O28" s="44"/>
      <c r="P28" s="44"/>
      <c r="Q28" s="45"/>
      <c r="R28" s="46"/>
      <c r="S28" s="46"/>
      <c r="T28" s="46"/>
      <c r="U28" s="44" t="s">
        <v>96</v>
      </c>
      <c r="V28" s="46"/>
      <c r="W28" s="44"/>
      <c r="X28" s="44"/>
      <c r="Y28" s="44"/>
      <c r="Z28" s="44"/>
      <c r="AA28" s="44"/>
      <c r="AB28" s="42"/>
      <c r="AC28" s="47" t="s">
        <v>97</v>
      </c>
      <c r="AD28" s="48"/>
      <c r="AE28" s="43"/>
      <c r="AF28" s="43"/>
      <c r="AG28" s="43"/>
      <c r="AH28" s="43"/>
      <c r="AI28" s="55"/>
      <c r="AJ28" s="52"/>
      <c r="AK28" s="56"/>
      <c r="AL28" s="46"/>
      <c r="AM28" s="46"/>
      <c r="AN28" s="46"/>
      <c r="AO28" s="46"/>
      <c r="AP28" s="46"/>
      <c r="AQ28" s="46"/>
      <c r="AR28" s="49"/>
      <c r="AS28" s="50"/>
      <c r="AT28" s="52"/>
      <c r="AU28" s="53"/>
      <c r="AV28" s="58"/>
      <c r="AW28" s="58"/>
      <c r="AX28" s="54" t="s">
        <v>69</v>
      </c>
      <c r="AY28" s="43" t="s">
        <v>70</v>
      </c>
      <c r="AZ28" s="43" t="s">
        <v>70</v>
      </c>
      <c r="BA28" s="43" t="s">
        <v>71</v>
      </c>
      <c r="BB28" s="43" t="s">
        <v>69</v>
      </c>
      <c r="BC28" s="51">
        <v>31</v>
      </c>
      <c r="BD28" s="43" t="s">
        <v>70</v>
      </c>
      <c r="BE28" s="9">
        <f t="shared" si="3"/>
        <v>19</v>
      </c>
      <c r="BF28" s="9" t="str">
        <f t="shared" si="2"/>
        <v>..</v>
      </c>
    </row>
    <row r="29" spans="1:58" s="9" customFormat="1" ht="18" customHeight="1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1" t="s">
        <v>93</v>
      </c>
      <c r="N29" s="44"/>
      <c r="O29" s="44"/>
      <c r="P29" s="44"/>
      <c r="Q29" s="45"/>
      <c r="R29" s="46"/>
      <c r="S29" s="46"/>
      <c r="T29" s="46"/>
      <c r="U29" s="44" t="s">
        <v>96</v>
      </c>
      <c r="V29" s="46"/>
      <c r="W29" s="44"/>
      <c r="X29" s="44"/>
      <c r="Y29" s="44"/>
      <c r="Z29" s="44"/>
      <c r="AA29" s="44"/>
      <c r="AB29" s="42"/>
      <c r="AC29" s="47" t="s">
        <v>97</v>
      </c>
      <c r="AD29" s="48"/>
      <c r="AE29" s="43"/>
      <c r="AF29" s="43"/>
      <c r="AG29" s="43"/>
      <c r="AH29" s="43"/>
      <c r="AI29" s="55"/>
      <c r="AJ29" s="52"/>
      <c r="AK29" s="56"/>
      <c r="AL29" s="46"/>
      <c r="AM29" s="46"/>
      <c r="AN29" s="46"/>
      <c r="AO29" s="46"/>
      <c r="AP29" s="46"/>
      <c r="AQ29" s="46"/>
      <c r="AR29" s="49"/>
      <c r="AS29" s="50"/>
      <c r="AT29" s="52"/>
      <c r="AU29" s="53"/>
      <c r="AV29" s="58"/>
      <c r="AW29" s="58"/>
      <c r="AX29" s="54" t="s">
        <v>69</v>
      </c>
      <c r="AY29" s="43" t="s">
        <v>70</v>
      </c>
      <c r="AZ29" s="43" t="s">
        <v>70</v>
      </c>
      <c r="BA29" s="43" t="s">
        <v>71</v>
      </c>
      <c r="BB29" s="43" t="s">
        <v>69</v>
      </c>
      <c r="BC29" s="51">
        <v>31</v>
      </c>
      <c r="BD29" s="43" t="s">
        <v>70</v>
      </c>
      <c r="BE29" s="9">
        <f t="shared" si="3"/>
        <v>20</v>
      </c>
      <c r="BF29" s="9" t="str">
        <f t="shared" si="2"/>
        <v>..</v>
      </c>
    </row>
    <row r="30" spans="1:58" s="9" customFormat="1" ht="18" customHeight="1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1" t="s">
        <v>93</v>
      </c>
      <c r="N30" s="44"/>
      <c r="O30" s="44"/>
      <c r="P30" s="44"/>
      <c r="Q30" s="45"/>
      <c r="R30" s="46"/>
      <c r="S30" s="46"/>
      <c r="T30" s="46"/>
      <c r="U30" s="44" t="s">
        <v>96</v>
      </c>
      <c r="V30" s="46"/>
      <c r="W30" s="44"/>
      <c r="X30" s="44"/>
      <c r="Y30" s="44"/>
      <c r="Z30" s="44"/>
      <c r="AA30" s="44"/>
      <c r="AB30" s="42"/>
      <c r="AC30" s="47" t="s">
        <v>97</v>
      </c>
      <c r="AD30" s="48"/>
      <c r="AE30" s="43"/>
      <c r="AF30" s="43"/>
      <c r="AG30" s="43"/>
      <c r="AH30" s="43"/>
      <c r="AI30" s="55"/>
      <c r="AJ30" s="52"/>
      <c r="AK30" s="56"/>
      <c r="AL30" s="46"/>
      <c r="AM30" s="46"/>
      <c r="AN30" s="46"/>
      <c r="AO30" s="46"/>
      <c r="AP30" s="46"/>
      <c r="AQ30" s="46"/>
      <c r="AR30" s="49"/>
      <c r="AS30" s="50"/>
      <c r="AT30" s="52"/>
      <c r="AU30" s="53"/>
      <c r="AV30" s="58"/>
      <c r="AW30" s="58"/>
      <c r="AX30" s="54" t="s">
        <v>69</v>
      </c>
      <c r="AY30" s="43" t="s">
        <v>70</v>
      </c>
      <c r="AZ30" s="43" t="s">
        <v>70</v>
      </c>
      <c r="BA30" s="43" t="s">
        <v>71</v>
      </c>
      <c r="BB30" s="43" t="s">
        <v>69</v>
      </c>
      <c r="BC30" s="51">
        <v>31</v>
      </c>
      <c r="BD30" s="43" t="s">
        <v>70</v>
      </c>
      <c r="BE30" s="9">
        <f t="shared" si="3"/>
        <v>21</v>
      </c>
      <c r="BF30" s="9" t="str">
        <f t="shared" si="2"/>
        <v>..</v>
      </c>
    </row>
    <row r="31" spans="1:58" s="9" customFormat="1" ht="18" customHeight="1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1" t="s">
        <v>93</v>
      </c>
      <c r="N31" s="44"/>
      <c r="O31" s="44"/>
      <c r="P31" s="44"/>
      <c r="Q31" s="45"/>
      <c r="R31" s="46"/>
      <c r="S31" s="46"/>
      <c r="T31" s="46"/>
      <c r="U31" s="44" t="s">
        <v>96</v>
      </c>
      <c r="V31" s="46"/>
      <c r="W31" s="44"/>
      <c r="X31" s="44"/>
      <c r="Y31" s="44"/>
      <c r="Z31" s="44"/>
      <c r="AA31" s="44"/>
      <c r="AB31" s="42"/>
      <c r="AC31" s="47" t="s">
        <v>97</v>
      </c>
      <c r="AD31" s="48"/>
      <c r="AE31" s="43"/>
      <c r="AF31" s="43"/>
      <c r="AG31" s="43"/>
      <c r="AH31" s="43"/>
      <c r="AI31" s="55"/>
      <c r="AJ31" s="52"/>
      <c r="AK31" s="56"/>
      <c r="AL31" s="46"/>
      <c r="AM31" s="46"/>
      <c r="AN31" s="46"/>
      <c r="AO31" s="46"/>
      <c r="AP31" s="46"/>
      <c r="AQ31" s="46"/>
      <c r="AR31" s="49"/>
      <c r="AS31" s="50"/>
      <c r="AT31" s="52"/>
      <c r="AU31" s="53"/>
      <c r="AV31" s="58"/>
      <c r="AW31" s="58"/>
      <c r="AX31" s="54" t="s">
        <v>69</v>
      </c>
      <c r="AY31" s="43" t="s">
        <v>70</v>
      </c>
      <c r="AZ31" s="43" t="s">
        <v>70</v>
      </c>
      <c r="BA31" s="43" t="s">
        <v>71</v>
      </c>
      <c r="BB31" s="43" t="s">
        <v>69</v>
      </c>
      <c r="BC31" s="51">
        <v>31</v>
      </c>
      <c r="BD31" s="43" t="s">
        <v>70</v>
      </c>
      <c r="BE31" s="9">
        <f t="shared" si="3"/>
        <v>22</v>
      </c>
      <c r="BF31" s="9" t="str">
        <f t="shared" si="2"/>
        <v>..</v>
      </c>
    </row>
    <row r="32" spans="1:58" s="9" customFormat="1" ht="18" customHeight="1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1" t="s">
        <v>93</v>
      </c>
      <c r="N32" s="44"/>
      <c r="O32" s="44"/>
      <c r="P32" s="44"/>
      <c r="Q32" s="45"/>
      <c r="R32" s="46"/>
      <c r="S32" s="46"/>
      <c r="T32" s="46"/>
      <c r="U32" s="44" t="s">
        <v>96</v>
      </c>
      <c r="V32" s="46"/>
      <c r="W32" s="44"/>
      <c r="X32" s="44"/>
      <c r="Y32" s="44"/>
      <c r="Z32" s="44"/>
      <c r="AA32" s="44"/>
      <c r="AB32" s="42"/>
      <c r="AC32" s="47" t="s">
        <v>97</v>
      </c>
      <c r="AD32" s="48"/>
      <c r="AE32" s="43"/>
      <c r="AF32" s="43"/>
      <c r="AG32" s="43"/>
      <c r="AH32" s="43"/>
      <c r="AI32" s="55"/>
      <c r="AJ32" s="52"/>
      <c r="AK32" s="56"/>
      <c r="AL32" s="46"/>
      <c r="AM32" s="46"/>
      <c r="AN32" s="46"/>
      <c r="AO32" s="46"/>
      <c r="AP32" s="46"/>
      <c r="AQ32" s="46"/>
      <c r="AR32" s="49"/>
      <c r="AS32" s="50"/>
      <c r="AT32" s="52"/>
      <c r="AU32" s="53"/>
      <c r="AV32" s="58"/>
      <c r="AW32" s="58"/>
      <c r="AX32" s="54" t="s">
        <v>69</v>
      </c>
      <c r="AY32" s="43" t="s">
        <v>70</v>
      </c>
      <c r="AZ32" s="43" t="s">
        <v>70</v>
      </c>
      <c r="BA32" s="43" t="s">
        <v>71</v>
      </c>
      <c r="BB32" s="43" t="s">
        <v>69</v>
      </c>
      <c r="BC32" s="51">
        <v>31</v>
      </c>
      <c r="BD32" s="43" t="s">
        <v>70</v>
      </c>
      <c r="BE32" s="9">
        <f t="shared" si="3"/>
        <v>23</v>
      </c>
      <c r="BF32" s="9" t="str">
        <f t="shared" si="2"/>
        <v>..</v>
      </c>
    </row>
    <row r="33" spans="1:58" s="9" customFormat="1" ht="18" customHeight="1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1" t="s">
        <v>93</v>
      </c>
      <c r="N33" s="44"/>
      <c r="O33" s="44"/>
      <c r="P33" s="44"/>
      <c r="Q33" s="45"/>
      <c r="R33" s="46"/>
      <c r="S33" s="46"/>
      <c r="T33" s="46"/>
      <c r="U33" s="44" t="s">
        <v>96</v>
      </c>
      <c r="V33" s="46"/>
      <c r="W33" s="44"/>
      <c r="X33" s="44"/>
      <c r="Y33" s="44"/>
      <c r="Z33" s="44"/>
      <c r="AA33" s="44"/>
      <c r="AB33" s="42"/>
      <c r="AC33" s="47" t="s">
        <v>97</v>
      </c>
      <c r="AD33" s="48"/>
      <c r="AE33" s="43"/>
      <c r="AF33" s="43"/>
      <c r="AG33" s="43"/>
      <c r="AH33" s="43"/>
      <c r="AI33" s="55"/>
      <c r="AJ33" s="52"/>
      <c r="AK33" s="56"/>
      <c r="AL33" s="46"/>
      <c r="AM33" s="46"/>
      <c r="AN33" s="46"/>
      <c r="AO33" s="46"/>
      <c r="AP33" s="46"/>
      <c r="AQ33" s="46"/>
      <c r="AR33" s="49"/>
      <c r="AS33" s="50"/>
      <c r="AT33" s="52"/>
      <c r="AU33" s="53"/>
      <c r="AV33" s="58"/>
      <c r="AW33" s="58"/>
      <c r="AX33" s="54" t="s">
        <v>69</v>
      </c>
      <c r="AY33" s="43" t="s">
        <v>70</v>
      </c>
      <c r="AZ33" s="43" t="s">
        <v>70</v>
      </c>
      <c r="BA33" s="43" t="s">
        <v>71</v>
      </c>
      <c r="BB33" s="43" t="s">
        <v>69</v>
      </c>
      <c r="BC33" s="51">
        <v>31</v>
      </c>
      <c r="BD33" s="43" t="s">
        <v>70</v>
      </c>
      <c r="BE33" s="9">
        <f t="shared" si="3"/>
        <v>24</v>
      </c>
      <c r="BF33" s="9" t="str">
        <f t="shared" si="2"/>
        <v>..</v>
      </c>
    </row>
    <row r="34" spans="1:58" s="9" customFormat="1" ht="18" customHeight="1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1" t="s">
        <v>93</v>
      </c>
      <c r="N34" s="44"/>
      <c r="O34" s="44"/>
      <c r="P34" s="44"/>
      <c r="Q34" s="45"/>
      <c r="R34" s="46"/>
      <c r="S34" s="46"/>
      <c r="T34" s="46"/>
      <c r="U34" s="44" t="s">
        <v>96</v>
      </c>
      <c r="V34" s="46"/>
      <c r="W34" s="44"/>
      <c r="X34" s="44"/>
      <c r="Y34" s="44"/>
      <c r="Z34" s="44"/>
      <c r="AA34" s="44"/>
      <c r="AB34" s="42"/>
      <c r="AC34" s="47" t="s">
        <v>97</v>
      </c>
      <c r="AD34" s="48"/>
      <c r="AE34" s="43"/>
      <c r="AF34" s="43"/>
      <c r="AG34" s="43"/>
      <c r="AH34" s="43"/>
      <c r="AI34" s="55"/>
      <c r="AJ34" s="52"/>
      <c r="AK34" s="56"/>
      <c r="AL34" s="46"/>
      <c r="AM34" s="46"/>
      <c r="AN34" s="46"/>
      <c r="AO34" s="46"/>
      <c r="AP34" s="46"/>
      <c r="AQ34" s="46"/>
      <c r="AR34" s="49"/>
      <c r="AS34" s="50"/>
      <c r="AT34" s="52"/>
      <c r="AU34" s="53"/>
      <c r="AV34" s="58"/>
      <c r="AW34" s="58"/>
      <c r="AX34" s="54" t="s">
        <v>69</v>
      </c>
      <c r="AY34" s="43" t="s">
        <v>70</v>
      </c>
      <c r="AZ34" s="43" t="s">
        <v>70</v>
      </c>
      <c r="BA34" s="43" t="s">
        <v>71</v>
      </c>
      <c r="BB34" s="43" t="s">
        <v>69</v>
      </c>
      <c r="BC34" s="51">
        <v>31</v>
      </c>
      <c r="BD34" s="43" t="s">
        <v>70</v>
      </c>
      <c r="BE34" s="9">
        <f t="shared" si="3"/>
        <v>25</v>
      </c>
      <c r="BF34" s="9" t="str">
        <f t="shared" si="2"/>
        <v>..</v>
      </c>
    </row>
    <row r="35" spans="1:58" s="9" customFormat="1" ht="18" customHeight="1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1" t="s">
        <v>93</v>
      </c>
      <c r="N35" s="44"/>
      <c r="O35" s="44"/>
      <c r="P35" s="44"/>
      <c r="Q35" s="45"/>
      <c r="R35" s="46"/>
      <c r="S35" s="46"/>
      <c r="T35" s="46"/>
      <c r="U35" s="44" t="s">
        <v>96</v>
      </c>
      <c r="V35" s="46"/>
      <c r="W35" s="44"/>
      <c r="X35" s="44"/>
      <c r="Y35" s="44"/>
      <c r="Z35" s="44"/>
      <c r="AA35" s="44"/>
      <c r="AB35" s="42"/>
      <c r="AC35" s="47" t="s">
        <v>97</v>
      </c>
      <c r="AD35" s="48"/>
      <c r="AE35" s="43"/>
      <c r="AF35" s="43"/>
      <c r="AG35" s="43"/>
      <c r="AH35" s="43"/>
      <c r="AI35" s="55"/>
      <c r="AJ35" s="52"/>
      <c r="AK35" s="56"/>
      <c r="AL35" s="46"/>
      <c r="AM35" s="46"/>
      <c r="AN35" s="46"/>
      <c r="AO35" s="46"/>
      <c r="AP35" s="46"/>
      <c r="AQ35" s="46"/>
      <c r="AR35" s="49"/>
      <c r="AS35" s="50"/>
      <c r="AT35" s="52"/>
      <c r="AU35" s="53"/>
      <c r="AV35" s="58"/>
      <c r="AW35" s="58"/>
      <c r="AX35" s="54" t="s">
        <v>69</v>
      </c>
      <c r="AY35" s="43" t="s">
        <v>70</v>
      </c>
      <c r="AZ35" s="43" t="s">
        <v>70</v>
      </c>
      <c r="BA35" s="43" t="s">
        <v>71</v>
      </c>
      <c r="BB35" s="43" t="s">
        <v>69</v>
      </c>
      <c r="BC35" s="51">
        <v>31</v>
      </c>
      <c r="BD35" s="43" t="s">
        <v>70</v>
      </c>
      <c r="BE35" s="9">
        <f t="shared" si="3"/>
        <v>26</v>
      </c>
      <c r="BF35" s="9" t="str">
        <f t="shared" si="2"/>
        <v>..</v>
      </c>
    </row>
    <row r="36" spans="1:58" s="9" customFormat="1" ht="18" customHeight="1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1" t="s">
        <v>93</v>
      </c>
      <c r="N36" s="44"/>
      <c r="O36" s="44"/>
      <c r="P36" s="44"/>
      <c r="Q36" s="45"/>
      <c r="R36" s="46"/>
      <c r="S36" s="46"/>
      <c r="T36" s="46"/>
      <c r="U36" s="44" t="s">
        <v>96</v>
      </c>
      <c r="V36" s="46"/>
      <c r="W36" s="44"/>
      <c r="X36" s="44"/>
      <c r="Y36" s="44"/>
      <c r="Z36" s="44"/>
      <c r="AA36" s="44"/>
      <c r="AB36" s="42"/>
      <c r="AC36" s="47" t="s">
        <v>97</v>
      </c>
      <c r="AD36" s="48"/>
      <c r="AE36" s="43"/>
      <c r="AF36" s="43"/>
      <c r="AG36" s="43"/>
      <c r="AH36" s="43"/>
      <c r="AI36" s="55"/>
      <c r="AJ36" s="52"/>
      <c r="AK36" s="56"/>
      <c r="AL36" s="46"/>
      <c r="AM36" s="46"/>
      <c r="AN36" s="46"/>
      <c r="AO36" s="46"/>
      <c r="AP36" s="46"/>
      <c r="AQ36" s="46"/>
      <c r="AR36" s="49"/>
      <c r="AS36" s="50"/>
      <c r="AT36" s="52"/>
      <c r="AU36" s="53"/>
      <c r="AV36" s="58"/>
      <c r="AW36" s="58"/>
      <c r="AX36" s="54" t="s">
        <v>69</v>
      </c>
      <c r="AY36" s="43" t="s">
        <v>70</v>
      </c>
      <c r="AZ36" s="43" t="s">
        <v>70</v>
      </c>
      <c r="BA36" s="43" t="s">
        <v>71</v>
      </c>
      <c r="BB36" s="43" t="s">
        <v>69</v>
      </c>
      <c r="BC36" s="51">
        <v>31</v>
      </c>
      <c r="BD36" s="43" t="s">
        <v>70</v>
      </c>
      <c r="BE36" s="9">
        <f t="shared" si="3"/>
        <v>27</v>
      </c>
      <c r="BF36" s="9" t="str">
        <f t="shared" si="2"/>
        <v>..</v>
      </c>
    </row>
    <row r="37" spans="1:58" s="9" customFormat="1" ht="18" customHeight="1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1" t="s">
        <v>93</v>
      </c>
      <c r="N37" s="44"/>
      <c r="O37" s="44"/>
      <c r="P37" s="44"/>
      <c r="Q37" s="45"/>
      <c r="R37" s="46"/>
      <c r="S37" s="46"/>
      <c r="T37" s="46"/>
      <c r="U37" s="44" t="s">
        <v>96</v>
      </c>
      <c r="V37" s="46"/>
      <c r="W37" s="44"/>
      <c r="X37" s="44"/>
      <c r="Y37" s="44"/>
      <c r="Z37" s="44"/>
      <c r="AA37" s="44"/>
      <c r="AB37" s="42"/>
      <c r="AC37" s="47" t="s">
        <v>97</v>
      </c>
      <c r="AD37" s="48"/>
      <c r="AE37" s="43"/>
      <c r="AF37" s="43"/>
      <c r="AG37" s="43"/>
      <c r="AH37" s="43"/>
      <c r="AI37" s="55"/>
      <c r="AJ37" s="52"/>
      <c r="AK37" s="56"/>
      <c r="AL37" s="46"/>
      <c r="AM37" s="46"/>
      <c r="AN37" s="46"/>
      <c r="AO37" s="46"/>
      <c r="AP37" s="46"/>
      <c r="AQ37" s="46"/>
      <c r="AR37" s="49"/>
      <c r="AS37" s="50"/>
      <c r="AT37" s="52"/>
      <c r="AU37" s="53"/>
      <c r="AV37" s="58"/>
      <c r="AW37" s="58"/>
      <c r="AX37" s="54" t="s">
        <v>69</v>
      </c>
      <c r="AY37" s="43" t="s">
        <v>70</v>
      </c>
      <c r="AZ37" s="43" t="s">
        <v>70</v>
      </c>
      <c r="BA37" s="43" t="s">
        <v>71</v>
      </c>
      <c r="BB37" s="43" t="s">
        <v>69</v>
      </c>
      <c r="BC37" s="51">
        <v>31</v>
      </c>
      <c r="BD37" s="43" t="s">
        <v>70</v>
      </c>
      <c r="BE37" s="9">
        <f t="shared" si="3"/>
        <v>28</v>
      </c>
      <c r="BF37" s="9" t="str">
        <f t="shared" si="2"/>
        <v>..</v>
      </c>
    </row>
    <row r="38" spans="1:58" s="9" customFormat="1" ht="18" customHeight="1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1" t="s">
        <v>93</v>
      </c>
      <c r="N38" s="44"/>
      <c r="O38" s="44"/>
      <c r="P38" s="44"/>
      <c r="Q38" s="45"/>
      <c r="R38" s="46"/>
      <c r="S38" s="46"/>
      <c r="T38" s="46"/>
      <c r="U38" s="44" t="s">
        <v>96</v>
      </c>
      <c r="V38" s="46"/>
      <c r="W38" s="44"/>
      <c r="X38" s="44"/>
      <c r="Y38" s="44"/>
      <c r="Z38" s="44"/>
      <c r="AA38" s="44"/>
      <c r="AB38" s="42"/>
      <c r="AC38" s="47" t="s">
        <v>97</v>
      </c>
      <c r="AD38" s="48"/>
      <c r="AE38" s="43"/>
      <c r="AF38" s="43"/>
      <c r="AG38" s="43"/>
      <c r="AH38" s="43"/>
      <c r="AI38" s="55"/>
      <c r="AJ38" s="52"/>
      <c r="AK38" s="56"/>
      <c r="AL38" s="46"/>
      <c r="AM38" s="46"/>
      <c r="AN38" s="46"/>
      <c r="AO38" s="46"/>
      <c r="AP38" s="46"/>
      <c r="AQ38" s="46"/>
      <c r="AR38" s="49"/>
      <c r="AS38" s="50"/>
      <c r="AT38" s="52"/>
      <c r="AU38" s="53"/>
      <c r="AV38" s="58"/>
      <c r="AW38" s="58"/>
      <c r="AX38" s="54" t="s">
        <v>69</v>
      </c>
      <c r="AY38" s="43" t="s">
        <v>70</v>
      </c>
      <c r="AZ38" s="43" t="s">
        <v>70</v>
      </c>
      <c r="BA38" s="43" t="s">
        <v>71</v>
      </c>
      <c r="BB38" s="43" t="s">
        <v>69</v>
      </c>
      <c r="BC38" s="51">
        <v>31</v>
      </c>
      <c r="BD38" s="43" t="s">
        <v>70</v>
      </c>
      <c r="BE38" s="9">
        <f t="shared" si="3"/>
        <v>29</v>
      </c>
      <c r="BF38" s="9" t="str">
        <f t="shared" si="2"/>
        <v>..</v>
      </c>
    </row>
    <row r="39" spans="1:58" s="9" customFormat="1" ht="18" customHeight="1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1" t="s">
        <v>93</v>
      </c>
      <c r="N39" s="44"/>
      <c r="O39" s="44"/>
      <c r="P39" s="44"/>
      <c r="Q39" s="45"/>
      <c r="R39" s="46"/>
      <c r="S39" s="46"/>
      <c r="T39" s="46"/>
      <c r="U39" s="44" t="s">
        <v>96</v>
      </c>
      <c r="V39" s="46"/>
      <c r="W39" s="44"/>
      <c r="X39" s="44"/>
      <c r="Y39" s="44"/>
      <c r="Z39" s="44"/>
      <c r="AA39" s="44"/>
      <c r="AB39" s="42"/>
      <c r="AC39" s="47" t="s">
        <v>97</v>
      </c>
      <c r="AD39" s="48"/>
      <c r="AE39" s="43"/>
      <c r="AF39" s="43"/>
      <c r="AG39" s="43"/>
      <c r="AH39" s="43"/>
      <c r="AI39" s="55"/>
      <c r="AJ39" s="52"/>
      <c r="AK39" s="56"/>
      <c r="AL39" s="46"/>
      <c r="AM39" s="46"/>
      <c r="AN39" s="46"/>
      <c r="AO39" s="46"/>
      <c r="AP39" s="46"/>
      <c r="AQ39" s="46"/>
      <c r="AR39" s="49"/>
      <c r="AS39" s="50"/>
      <c r="AT39" s="52"/>
      <c r="AU39" s="53"/>
      <c r="AV39" s="58"/>
      <c r="AW39" s="58"/>
      <c r="AX39" s="54" t="s">
        <v>69</v>
      </c>
      <c r="AY39" s="43" t="s">
        <v>70</v>
      </c>
      <c r="AZ39" s="43" t="s">
        <v>70</v>
      </c>
      <c r="BA39" s="43" t="s">
        <v>71</v>
      </c>
      <c r="BB39" s="43" t="s">
        <v>69</v>
      </c>
      <c r="BC39" s="51">
        <v>31</v>
      </c>
      <c r="BD39" s="43" t="s">
        <v>70</v>
      </c>
      <c r="BE39" s="9">
        <f t="shared" si="3"/>
        <v>30</v>
      </c>
      <c r="BF39" s="9" t="str">
        <f t="shared" si="2"/>
        <v>..</v>
      </c>
    </row>
    <row r="40" spans="1:58" s="9" customFormat="1" ht="18" customHeight="1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1" t="s">
        <v>93</v>
      </c>
      <c r="N40" s="44"/>
      <c r="O40" s="44"/>
      <c r="P40" s="44"/>
      <c r="Q40" s="45"/>
      <c r="R40" s="46"/>
      <c r="S40" s="46"/>
      <c r="T40" s="46"/>
      <c r="U40" s="44" t="s">
        <v>96</v>
      </c>
      <c r="V40" s="46"/>
      <c r="W40" s="44"/>
      <c r="X40" s="44"/>
      <c r="Y40" s="44"/>
      <c r="Z40" s="44"/>
      <c r="AA40" s="44"/>
      <c r="AB40" s="42"/>
      <c r="AC40" s="47" t="s">
        <v>97</v>
      </c>
      <c r="AD40" s="48"/>
      <c r="AE40" s="43"/>
      <c r="AF40" s="43"/>
      <c r="AG40" s="43"/>
      <c r="AH40" s="43"/>
      <c r="AI40" s="55"/>
      <c r="AJ40" s="52"/>
      <c r="AK40" s="56"/>
      <c r="AL40" s="46"/>
      <c r="AM40" s="46"/>
      <c r="AN40" s="46"/>
      <c r="AO40" s="46"/>
      <c r="AP40" s="46"/>
      <c r="AQ40" s="46"/>
      <c r="AR40" s="49"/>
      <c r="AS40" s="50"/>
      <c r="AT40" s="52"/>
      <c r="AU40" s="53"/>
      <c r="AV40" s="58"/>
      <c r="AW40" s="58"/>
      <c r="AX40" s="54" t="s">
        <v>69</v>
      </c>
      <c r="AY40" s="43" t="s">
        <v>70</v>
      </c>
      <c r="AZ40" s="43" t="s">
        <v>70</v>
      </c>
      <c r="BA40" s="43" t="s">
        <v>71</v>
      </c>
      <c r="BB40" s="43" t="s">
        <v>69</v>
      </c>
      <c r="BC40" s="51">
        <v>31</v>
      </c>
      <c r="BD40" s="43" t="s">
        <v>70</v>
      </c>
      <c r="BE40" s="9">
        <f t="shared" si="3"/>
        <v>31</v>
      </c>
      <c r="BF40" s="9" t="str">
        <f t="shared" si="2"/>
        <v>..</v>
      </c>
    </row>
    <row r="41" spans="1:58" s="9" customFormat="1" ht="18" customHeight="1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1" t="s">
        <v>93</v>
      </c>
      <c r="N41" s="44"/>
      <c r="O41" s="44"/>
      <c r="P41" s="44"/>
      <c r="Q41" s="45"/>
      <c r="R41" s="46"/>
      <c r="S41" s="46"/>
      <c r="T41" s="46"/>
      <c r="U41" s="44" t="s">
        <v>96</v>
      </c>
      <c r="V41" s="46"/>
      <c r="W41" s="44"/>
      <c r="X41" s="44"/>
      <c r="Y41" s="44"/>
      <c r="Z41" s="44"/>
      <c r="AA41" s="44"/>
      <c r="AB41" s="42"/>
      <c r="AC41" s="47" t="s">
        <v>97</v>
      </c>
      <c r="AD41" s="48"/>
      <c r="AE41" s="43"/>
      <c r="AF41" s="43"/>
      <c r="AG41" s="43"/>
      <c r="AH41" s="43"/>
      <c r="AI41" s="55"/>
      <c r="AJ41" s="52"/>
      <c r="AK41" s="56"/>
      <c r="AL41" s="46"/>
      <c r="AM41" s="46"/>
      <c r="AN41" s="46"/>
      <c r="AO41" s="46"/>
      <c r="AP41" s="46"/>
      <c r="AQ41" s="46"/>
      <c r="AR41" s="49"/>
      <c r="AS41" s="50"/>
      <c r="AT41" s="52"/>
      <c r="AU41" s="53"/>
      <c r="AV41" s="58"/>
      <c r="AW41" s="58"/>
      <c r="AX41" s="54" t="s">
        <v>69</v>
      </c>
      <c r="AY41" s="43" t="s">
        <v>70</v>
      </c>
      <c r="AZ41" s="43" t="s">
        <v>70</v>
      </c>
      <c r="BA41" s="43" t="s">
        <v>71</v>
      </c>
      <c r="BB41" s="43" t="s">
        <v>69</v>
      </c>
      <c r="BC41" s="51">
        <v>31</v>
      </c>
      <c r="BD41" s="43" t="s">
        <v>70</v>
      </c>
      <c r="BE41" s="9">
        <f t="shared" si="3"/>
        <v>32</v>
      </c>
      <c r="BF41" s="9" t="str">
        <f t="shared" si="2"/>
        <v>..</v>
      </c>
    </row>
    <row r="42" spans="1:58" s="9" customFormat="1" ht="18" customHeight="1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1" t="s">
        <v>93</v>
      </c>
      <c r="N42" s="44"/>
      <c r="O42" s="44"/>
      <c r="P42" s="44"/>
      <c r="Q42" s="45"/>
      <c r="R42" s="46"/>
      <c r="S42" s="46"/>
      <c r="T42" s="46"/>
      <c r="U42" s="44" t="s">
        <v>96</v>
      </c>
      <c r="V42" s="46"/>
      <c r="W42" s="44"/>
      <c r="X42" s="44"/>
      <c r="Y42" s="44"/>
      <c r="Z42" s="44"/>
      <c r="AA42" s="44"/>
      <c r="AB42" s="42"/>
      <c r="AC42" s="47" t="s">
        <v>97</v>
      </c>
      <c r="AD42" s="48"/>
      <c r="AE42" s="43"/>
      <c r="AF42" s="43"/>
      <c r="AG42" s="43"/>
      <c r="AH42" s="43"/>
      <c r="AI42" s="55"/>
      <c r="AJ42" s="52"/>
      <c r="AK42" s="56"/>
      <c r="AL42" s="46"/>
      <c r="AM42" s="46"/>
      <c r="AN42" s="46"/>
      <c r="AO42" s="46"/>
      <c r="AP42" s="46"/>
      <c r="AQ42" s="46"/>
      <c r="AR42" s="49"/>
      <c r="AS42" s="50"/>
      <c r="AT42" s="52"/>
      <c r="AU42" s="53"/>
      <c r="AV42" s="58"/>
      <c r="AW42" s="58"/>
      <c r="AX42" s="54" t="s">
        <v>69</v>
      </c>
      <c r="AY42" s="43" t="s">
        <v>70</v>
      </c>
      <c r="AZ42" s="43" t="s">
        <v>70</v>
      </c>
      <c r="BA42" s="43" t="s">
        <v>71</v>
      </c>
      <c r="BB42" s="43" t="s">
        <v>69</v>
      </c>
      <c r="BC42" s="51">
        <v>31</v>
      </c>
      <c r="BD42" s="43" t="s">
        <v>70</v>
      </c>
      <c r="BE42" s="9">
        <f t="shared" si="3"/>
        <v>33</v>
      </c>
      <c r="BF42" s="9" t="str">
        <f t="shared" si="2"/>
        <v>..</v>
      </c>
    </row>
    <row r="43" spans="1:58" s="9" customFormat="1" ht="18" customHeight="1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1" t="s">
        <v>93</v>
      </c>
      <c r="N43" s="44"/>
      <c r="O43" s="44"/>
      <c r="P43" s="44"/>
      <c r="Q43" s="45"/>
      <c r="R43" s="46"/>
      <c r="S43" s="46"/>
      <c r="T43" s="46"/>
      <c r="U43" s="44" t="s">
        <v>96</v>
      </c>
      <c r="V43" s="46"/>
      <c r="W43" s="44"/>
      <c r="X43" s="44"/>
      <c r="Y43" s="44"/>
      <c r="Z43" s="44"/>
      <c r="AA43" s="44"/>
      <c r="AB43" s="42"/>
      <c r="AC43" s="47" t="s">
        <v>97</v>
      </c>
      <c r="AD43" s="48"/>
      <c r="AE43" s="43"/>
      <c r="AF43" s="43"/>
      <c r="AG43" s="43"/>
      <c r="AH43" s="43"/>
      <c r="AI43" s="55"/>
      <c r="AJ43" s="52"/>
      <c r="AK43" s="56"/>
      <c r="AL43" s="46"/>
      <c r="AM43" s="46"/>
      <c r="AN43" s="46"/>
      <c r="AO43" s="46"/>
      <c r="AP43" s="46"/>
      <c r="AQ43" s="46"/>
      <c r="AR43" s="49"/>
      <c r="AS43" s="50"/>
      <c r="AT43" s="52"/>
      <c r="AU43" s="53"/>
      <c r="AV43" s="58"/>
      <c r="AW43" s="58"/>
      <c r="AX43" s="54" t="s">
        <v>69</v>
      </c>
      <c r="AY43" s="43" t="s">
        <v>70</v>
      </c>
      <c r="AZ43" s="43" t="s">
        <v>70</v>
      </c>
      <c r="BA43" s="43" t="s">
        <v>71</v>
      </c>
      <c r="BB43" s="43" t="s">
        <v>69</v>
      </c>
      <c r="BC43" s="51">
        <v>31</v>
      </c>
      <c r="BD43" s="43" t="s">
        <v>70</v>
      </c>
      <c r="BE43" s="9">
        <f t="shared" si="3"/>
        <v>34</v>
      </c>
      <c r="BF43" s="9" t="str">
        <f t="shared" si="2"/>
        <v>..</v>
      </c>
    </row>
    <row r="44" spans="1:58" s="9" customFormat="1" ht="18" customHeight="1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1" t="s">
        <v>93</v>
      </c>
      <c r="N44" s="44"/>
      <c r="O44" s="44"/>
      <c r="P44" s="44"/>
      <c r="Q44" s="45"/>
      <c r="R44" s="46"/>
      <c r="S44" s="46"/>
      <c r="T44" s="46"/>
      <c r="U44" s="44" t="s">
        <v>96</v>
      </c>
      <c r="V44" s="46"/>
      <c r="W44" s="44"/>
      <c r="X44" s="44"/>
      <c r="Y44" s="44"/>
      <c r="Z44" s="44"/>
      <c r="AA44" s="44"/>
      <c r="AB44" s="42"/>
      <c r="AC44" s="47" t="s">
        <v>97</v>
      </c>
      <c r="AD44" s="48"/>
      <c r="AE44" s="43"/>
      <c r="AF44" s="43"/>
      <c r="AG44" s="43"/>
      <c r="AH44" s="43"/>
      <c r="AI44" s="55"/>
      <c r="AJ44" s="52"/>
      <c r="AK44" s="56"/>
      <c r="AL44" s="46"/>
      <c r="AM44" s="46"/>
      <c r="AN44" s="46"/>
      <c r="AO44" s="46"/>
      <c r="AP44" s="46"/>
      <c r="AQ44" s="46"/>
      <c r="AR44" s="49"/>
      <c r="AS44" s="50"/>
      <c r="AT44" s="52"/>
      <c r="AU44" s="53"/>
      <c r="AV44" s="58"/>
      <c r="AW44" s="58"/>
      <c r="AX44" s="54" t="s">
        <v>69</v>
      </c>
      <c r="AY44" s="43" t="s">
        <v>70</v>
      </c>
      <c r="AZ44" s="43" t="s">
        <v>70</v>
      </c>
      <c r="BA44" s="43" t="s">
        <v>71</v>
      </c>
      <c r="BB44" s="43" t="s">
        <v>69</v>
      </c>
      <c r="BC44" s="51">
        <v>31</v>
      </c>
      <c r="BD44" s="43" t="s">
        <v>70</v>
      </c>
      <c r="BE44" s="9">
        <f t="shared" si="3"/>
        <v>35</v>
      </c>
      <c r="BF44" s="9" t="str">
        <f t="shared" si="2"/>
        <v>..</v>
      </c>
    </row>
    <row r="45" spans="1:58" s="9" customFormat="1" ht="18" customHeight="1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1" t="s">
        <v>93</v>
      </c>
      <c r="N45" s="44"/>
      <c r="O45" s="44"/>
      <c r="P45" s="44"/>
      <c r="Q45" s="45"/>
      <c r="R45" s="46"/>
      <c r="S45" s="46"/>
      <c r="T45" s="46"/>
      <c r="U45" s="44" t="s">
        <v>96</v>
      </c>
      <c r="V45" s="46"/>
      <c r="W45" s="44"/>
      <c r="X45" s="44"/>
      <c r="Y45" s="44"/>
      <c r="Z45" s="44"/>
      <c r="AA45" s="44"/>
      <c r="AB45" s="42"/>
      <c r="AC45" s="47" t="s">
        <v>97</v>
      </c>
      <c r="AD45" s="48"/>
      <c r="AE45" s="43"/>
      <c r="AF45" s="43"/>
      <c r="AG45" s="43"/>
      <c r="AH45" s="43"/>
      <c r="AI45" s="55"/>
      <c r="AJ45" s="52"/>
      <c r="AK45" s="56"/>
      <c r="AL45" s="46"/>
      <c r="AM45" s="46"/>
      <c r="AN45" s="46"/>
      <c r="AO45" s="46"/>
      <c r="AP45" s="46"/>
      <c r="AQ45" s="46"/>
      <c r="AR45" s="49"/>
      <c r="AS45" s="50"/>
      <c r="AT45" s="52"/>
      <c r="AU45" s="53"/>
      <c r="AV45" s="58"/>
      <c r="AW45" s="58"/>
      <c r="AX45" s="54" t="s">
        <v>69</v>
      </c>
      <c r="AY45" s="43" t="s">
        <v>70</v>
      </c>
      <c r="AZ45" s="43" t="s">
        <v>70</v>
      </c>
      <c r="BA45" s="43" t="s">
        <v>71</v>
      </c>
      <c r="BB45" s="43" t="s">
        <v>69</v>
      </c>
      <c r="BC45" s="51">
        <v>31</v>
      </c>
      <c r="BD45" s="43" t="s">
        <v>70</v>
      </c>
      <c r="BE45" s="9">
        <f t="shared" si="3"/>
        <v>36</v>
      </c>
      <c r="BF45" s="9" t="str">
        <f t="shared" si="2"/>
        <v>..</v>
      </c>
    </row>
    <row r="46" spans="1:58" s="9" customFormat="1" ht="18" customHeight="1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1" t="s">
        <v>93</v>
      </c>
      <c r="N46" s="44"/>
      <c r="O46" s="44"/>
      <c r="P46" s="44"/>
      <c r="Q46" s="45"/>
      <c r="R46" s="46"/>
      <c r="S46" s="46"/>
      <c r="T46" s="46"/>
      <c r="U46" s="44" t="s">
        <v>96</v>
      </c>
      <c r="V46" s="46"/>
      <c r="W46" s="44"/>
      <c r="X46" s="44"/>
      <c r="Y46" s="44"/>
      <c r="Z46" s="44"/>
      <c r="AA46" s="44"/>
      <c r="AB46" s="42"/>
      <c r="AC46" s="47" t="s">
        <v>97</v>
      </c>
      <c r="AD46" s="48"/>
      <c r="AE46" s="43"/>
      <c r="AF46" s="43"/>
      <c r="AG46" s="43"/>
      <c r="AH46" s="43"/>
      <c r="AI46" s="55"/>
      <c r="AJ46" s="52"/>
      <c r="AK46" s="56"/>
      <c r="AL46" s="46"/>
      <c r="AM46" s="46"/>
      <c r="AN46" s="46"/>
      <c r="AO46" s="46"/>
      <c r="AP46" s="46"/>
      <c r="AQ46" s="46"/>
      <c r="AR46" s="49"/>
      <c r="AS46" s="50"/>
      <c r="AT46" s="52"/>
      <c r="AU46" s="53"/>
      <c r="AV46" s="58"/>
      <c r="AW46" s="58"/>
      <c r="AX46" s="54" t="s">
        <v>69</v>
      </c>
      <c r="AY46" s="43" t="s">
        <v>70</v>
      </c>
      <c r="AZ46" s="43" t="s">
        <v>70</v>
      </c>
      <c r="BA46" s="43" t="s">
        <v>71</v>
      </c>
      <c r="BB46" s="43" t="s">
        <v>69</v>
      </c>
      <c r="BC46" s="51">
        <v>31</v>
      </c>
      <c r="BD46" s="43" t="s">
        <v>70</v>
      </c>
      <c r="BE46" s="9">
        <f t="shared" si="3"/>
        <v>37</v>
      </c>
      <c r="BF46" s="9" t="str">
        <f t="shared" si="2"/>
        <v>..</v>
      </c>
    </row>
    <row r="47" spans="1:58" s="9" customFormat="1" ht="18" customHeight="1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1" t="s">
        <v>93</v>
      </c>
      <c r="N47" s="44"/>
      <c r="O47" s="44"/>
      <c r="P47" s="44"/>
      <c r="Q47" s="45"/>
      <c r="R47" s="46"/>
      <c r="S47" s="46"/>
      <c r="T47" s="46"/>
      <c r="U47" s="44" t="s">
        <v>96</v>
      </c>
      <c r="V47" s="46"/>
      <c r="W47" s="44"/>
      <c r="X47" s="44"/>
      <c r="Y47" s="44"/>
      <c r="Z47" s="44"/>
      <c r="AA47" s="44"/>
      <c r="AB47" s="42"/>
      <c r="AC47" s="47" t="s">
        <v>97</v>
      </c>
      <c r="AD47" s="48"/>
      <c r="AE47" s="43"/>
      <c r="AF47" s="43"/>
      <c r="AG47" s="43"/>
      <c r="AH47" s="43"/>
      <c r="AI47" s="55"/>
      <c r="AJ47" s="52"/>
      <c r="AK47" s="56"/>
      <c r="AL47" s="46"/>
      <c r="AM47" s="46"/>
      <c r="AN47" s="46"/>
      <c r="AO47" s="46"/>
      <c r="AP47" s="46"/>
      <c r="AQ47" s="46"/>
      <c r="AR47" s="49"/>
      <c r="AS47" s="50"/>
      <c r="AT47" s="52"/>
      <c r="AU47" s="53"/>
      <c r="AV47" s="58"/>
      <c r="AW47" s="58"/>
      <c r="AX47" s="54" t="s">
        <v>69</v>
      </c>
      <c r="AY47" s="43" t="s">
        <v>70</v>
      </c>
      <c r="AZ47" s="43" t="s">
        <v>70</v>
      </c>
      <c r="BA47" s="43" t="s">
        <v>71</v>
      </c>
      <c r="BB47" s="43" t="s">
        <v>69</v>
      </c>
      <c r="BC47" s="51">
        <v>31</v>
      </c>
      <c r="BD47" s="43" t="s">
        <v>70</v>
      </c>
      <c r="BE47" s="9">
        <f t="shared" si="3"/>
        <v>38</v>
      </c>
      <c r="BF47" s="9" t="str">
        <f t="shared" si="2"/>
        <v>..</v>
      </c>
    </row>
    <row r="48" spans="1:58" s="9" customFormat="1" ht="18" customHeight="1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1" t="s">
        <v>93</v>
      </c>
      <c r="N48" s="44"/>
      <c r="O48" s="44"/>
      <c r="P48" s="44"/>
      <c r="Q48" s="45"/>
      <c r="R48" s="46"/>
      <c r="S48" s="46"/>
      <c r="T48" s="46"/>
      <c r="U48" s="44" t="s">
        <v>96</v>
      </c>
      <c r="V48" s="46"/>
      <c r="W48" s="44"/>
      <c r="X48" s="44"/>
      <c r="Y48" s="44"/>
      <c r="Z48" s="44"/>
      <c r="AA48" s="44"/>
      <c r="AB48" s="42"/>
      <c r="AC48" s="47" t="s">
        <v>97</v>
      </c>
      <c r="AD48" s="48"/>
      <c r="AE48" s="43"/>
      <c r="AF48" s="43"/>
      <c r="AG48" s="43"/>
      <c r="AH48" s="43"/>
      <c r="AI48" s="55"/>
      <c r="AJ48" s="52"/>
      <c r="AK48" s="56"/>
      <c r="AL48" s="46"/>
      <c r="AM48" s="46"/>
      <c r="AN48" s="46"/>
      <c r="AO48" s="46"/>
      <c r="AP48" s="46"/>
      <c r="AQ48" s="46"/>
      <c r="AR48" s="49"/>
      <c r="AS48" s="50"/>
      <c r="AT48" s="52"/>
      <c r="AU48" s="53"/>
      <c r="AV48" s="58"/>
      <c r="AW48" s="58"/>
      <c r="AX48" s="54" t="s">
        <v>69</v>
      </c>
      <c r="AY48" s="43" t="s">
        <v>70</v>
      </c>
      <c r="AZ48" s="43" t="s">
        <v>70</v>
      </c>
      <c r="BA48" s="43" t="s">
        <v>71</v>
      </c>
      <c r="BB48" s="43" t="s">
        <v>69</v>
      </c>
      <c r="BC48" s="51">
        <v>31</v>
      </c>
      <c r="BD48" s="43" t="s">
        <v>70</v>
      </c>
      <c r="BE48" s="9">
        <f t="shared" si="3"/>
        <v>39</v>
      </c>
      <c r="BF48" s="9" t="str">
        <f t="shared" si="2"/>
        <v>..</v>
      </c>
    </row>
    <row r="49" spans="1:58" s="9" customFormat="1" ht="18" customHeight="1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1" t="s">
        <v>93</v>
      </c>
      <c r="N49" s="44"/>
      <c r="O49" s="44"/>
      <c r="P49" s="44"/>
      <c r="Q49" s="45"/>
      <c r="R49" s="46"/>
      <c r="S49" s="46"/>
      <c r="T49" s="46"/>
      <c r="U49" s="44" t="s">
        <v>96</v>
      </c>
      <c r="V49" s="46"/>
      <c r="W49" s="44"/>
      <c r="X49" s="44"/>
      <c r="Y49" s="44"/>
      <c r="Z49" s="44"/>
      <c r="AA49" s="44"/>
      <c r="AB49" s="42"/>
      <c r="AC49" s="47" t="s">
        <v>97</v>
      </c>
      <c r="AD49" s="48"/>
      <c r="AE49" s="43"/>
      <c r="AF49" s="43"/>
      <c r="AG49" s="43"/>
      <c r="AH49" s="43"/>
      <c r="AI49" s="55"/>
      <c r="AJ49" s="52"/>
      <c r="AK49" s="56"/>
      <c r="AL49" s="46"/>
      <c r="AM49" s="46"/>
      <c r="AN49" s="46"/>
      <c r="AO49" s="46"/>
      <c r="AP49" s="46"/>
      <c r="AQ49" s="46"/>
      <c r="AR49" s="49"/>
      <c r="AS49" s="50"/>
      <c r="AT49" s="52"/>
      <c r="AU49" s="53"/>
      <c r="AV49" s="58"/>
      <c r="AW49" s="58"/>
      <c r="AX49" s="54" t="s">
        <v>69</v>
      </c>
      <c r="AY49" s="43" t="s">
        <v>70</v>
      </c>
      <c r="AZ49" s="43" t="s">
        <v>70</v>
      </c>
      <c r="BA49" s="43" t="s">
        <v>71</v>
      </c>
      <c r="BB49" s="43" t="s">
        <v>69</v>
      </c>
      <c r="BC49" s="51">
        <v>31</v>
      </c>
      <c r="BD49" s="43" t="s">
        <v>70</v>
      </c>
      <c r="BE49" s="9">
        <f t="shared" si="3"/>
        <v>40</v>
      </c>
      <c r="BF49" s="9" t="str">
        <f t="shared" si="2"/>
        <v>..</v>
      </c>
    </row>
    <row r="50" spans="1:58" s="9" customFormat="1" ht="18" customHeight="1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1" t="s">
        <v>93</v>
      </c>
      <c r="N50" s="44"/>
      <c r="O50" s="44"/>
      <c r="P50" s="44"/>
      <c r="Q50" s="45"/>
      <c r="R50" s="46"/>
      <c r="S50" s="46"/>
      <c r="T50" s="46"/>
      <c r="U50" s="44" t="s">
        <v>96</v>
      </c>
      <c r="V50" s="46"/>
      <c r="W50" s="44"/>
      <c r="X50" s="44"/>
      <c r="Y50" s="44"/>
      <c r="Z50" s="44"/>
      <c r="AA50" s="44"/>
      <c r="AB50" s="42"/>
      <c r="AC50" s="47" t="s">
        <v>97</v>
      </c>
      <c r="AD50" s="48"/>
      <c r="AE50" s="43"/>
      <c r="AF50" s="43"/>
      <c r="AG50" s="43"/>
      <c r="AH50" s="43"/>
      <c r="AI50" s="55"/>
      <c r="AJ50" s="52"/>
      <c r="AK50" s="56"/>
      <c r="AL50" s="46"/>
      <c r="AM50" s="46"/>
      <c r="AN50" s="46"/>
      <c r="AO50" s="46"/>
      <c r="AP50" s="46"/>
      <c r="AQ50" s="46"/>
      <c r="AR50" s="49"/>
      <c r="AS50" s="50"/>
      <c r="AT50" s="52"/>
      <c r="AU50" s="53"/>
      <c r="AV50" s="58"/>
      <c r="AW50" s="58"/>
      <c r="AX50" s="54" t="s">
        <v>69</v>
      </c>
      <c r="AY50" s="43" t="s">
        <v>70</v>
      </c>
      <c r="AZ50" s="43" t="s">
        <v>70</v>
      </c>
      <c r="BA50" s="43" t="s">
        <v>71</v>
      </c>
      <c r="BB50" s="43" t="s">
        <v>69</v>
      </c>
      <c r="BC50" s="51">
        <v>31</v>
      </c>
      <c r="BD50" s="43" t="s">
        <v>70</v>
      </c>
      <c r="BE50" s="9">
        <f t="shared" si="3"/>
        <v>41</v>
      </c>
      <c r="BF50" s="9" t="str">
        <f t="shared" si="2"/>
        <v>..</v>
      </c>
    </row>
    <row r="51" spans="1:58" s="9" customFormat="1" ht="18" customHeight="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1" t="s">
        <v>93</v>
      </c>
      <c r="N51" s="44"/>
      <c r="O51" s="44"/>
      <c r="P51" s="44"/>
      <c r="Q51" s="45"/>
      <c r="R51" s="46"/>
      <c r="S51" s="46"/>
      <c r="T51" s="46"/>
      <c r="U51" s="44" t="s">
        <v>96</v>
      </c>
      <c r="V51" s="46"/>
      <c r="W51" s="44"/>
      <c r="X51" s="44"/>
      <c r="Y51" s="44"/>
      <c r="Z51" s="44"/>
      <c r="AA51" s="44"/>
      <c r="AB51" s="42"/>
      <c r="AC51" s="47" t="s">
        <v>97</v>
      </c>
      <c r="AD51" s="48"/>
      <c r="AE51" s="43"/>
      <c r="AF51" s="43"/>
      <c r="AG51" s="43"/>
      <c r="AH51" s="43"/>
      <c r="AI51" s="55"/>
      <c r="AJ51" s="52"/>
      <c r="AK51" s="56"/>
      <c r="AL51" s="46"/>
      <c r="AM51" s="46"/>
      <c r="AN51" s="46"/>
      <c r="AO51" s="46"/>
      <c r="AP51" s="46"/>
      <c r="AQ51" s="46"/>
      <c r="AR51" s="49"/>
      <c r="AS51" s="50"/>
      <c r="AT51" s="52"/>
      <c r="AU51" s="53"/>
      <c r="AV51" s="58"/>
      <c r="AW51" s="58"/>
      <c r="AX51" s="54" t="s">
        <v>69</v>
      </c>
      <c r="AY51" s="43" t="s">
        <v>70</v>
      </c>
      <c r="AZ51" s="43" t="s">
        <v>70</v>
      </c>
      <c r="BA51" s="43" t="s">
        <v>71</v>
      </c>
      <c r="BB51" s="43" t="s">
        <v>69</v>
      </c>
      <c r="BC51" s="51">
        <v>31</v>
      </c>
      <c r="BD51" s="43" t="s">
        <v>70</v>
      </c>
      <c r="BE51" s="9">
        <f t="shared" si="3"/>
        <v>42</v>
      </c>
      <c r="BF51" s="9" t="str">
        <f t="shared" si="2"/>
        <v>..</v>
      </c>
    </row>
    <row r="52" spans="1:58" s="9" customFormat="1" ht="18" customHeight="1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1" t="s">
        <v>93</v>
      </c>
      <c r="N52" s="44"/>
      <c r="O52" s="44"/>
      <c r="P52" s="44"/>
      <c r="Q52" s="45"/>
      <c r="R52" s="46"/>
      <c r="S52" s="46"/>
      <c r="T52" s="46"/>
      <c r="U52" s="44" t="s">
        <v>96</v>
      </c>
      <c r="V52" s="46"/>
      <c r="W52" s="44"/>
      <c r="X52" s="44"/>
      <c r="Y52" s="44"/>
      <c r="Z52" s="44"/>
      <c r="AA52" s="44"/>
      <c r="AB52" s="42"/>
      <c r="AC52" s="47" t="s">
        <v>97</v>
      </c>
      <c r="AD52" s="48"/>
      <c r="AE52" s="43"/>
      <c r="AF52" s="43"/>
      <c r="AG52" s="43"/>
      <c r="AH52" s="43"/>
      <c r="AI52" s="55"/>
      <c r="AJ52" s="52"/>
      <c r="AK52" s="56"/>
      <c r="AL52" s="46"/>
      <c r="AM52" s="46"/>
      <c r="AN52" s="46"/>
      <c r="AO52" s="46"/>
      <c r="AP52" s="46"/>
      <c r="AQ52" s="46"/>
      <c r="AR52" s="49"/>
      <c r="AS52" s="50"/>
      <c r="AT52" s="52"/>
      <c r="AU52" s="53"/>
      <c r="AV52" s="58"/>
      <c r="AW52" s="58"/>
      <c r="AX52" s="54" t="s">
        <v>69</v>
      </c>
      <c r="AY52" s="43" t="s">
        <v>70</v>
      </c>
      <c r="AZ52" s="43" t="s">
        <v>70</v>
      </c>
      <c r="BA52" s="43" t="s">
        <v>71</v>
      </c>
      <c r="BB52" s="43" t="s">
        <v>69</v>
      </c>
      <c r="BC52" s="51">
        <v>31</v>
      </c>
      <c r="BD52" s="43" t="s">
        <v>70</v>
      </c>
      <c r="BE52" s="9">
        <f t="shared" si="3"/>
        <v>43</v>
      </c>
      <c r="BF52" s="9" t="str">
        <f t="shared" si="2"/>
        <v>..</v>
      </c>
    </row>
    <row r="53" spans="1:58" s="9" customFormat="1" ht="18" customHeight="1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1" t="s">
        <v>93</v>
      </c>
      <c r="N53" s="44"/>
      <c r="O53" s="44"/>
      <c r="P53" s="44"/>
      <c r="Q53" s="45"/>
      <c r="R53" s="46"/>
      <c r="S53" s="46"/>
      <c r="T53" s="46"/>
      <c r="U53" s="44" t="s">
        <v>96</v>
      </c>
      <c r="V53" s="46"/>
      <c r="W53" s="44"/>
      <c r="X53" s="44"/>
      <c r="Y53" s="44"/>
      <c r="Z53" s="44"/>
      <c r="AA53" s="44"/>
      <c r="AB53" s="42"/>
      <c r="AC53" s="47" t="s">
        <v>97</v>
      </c>
      <c r="AD53" s="48"/>
      <c r="AE53" s="43"/>
      <c r="AF53" s="43"/>
      <c r="AG53" s="43"/>
      <c r="AH53" s="43"/>
      <c r="AI53" s="55"/>
      <c r="AJ53" s="52"/>
      <c r="AK53" s="56"/>
      <c r="AL53" s="46"/>
      <c r="AM53" s="46"/>
      <c r="AN53" s="46"/>
      <c r="AO53" s="46"/>
      <c r="AP53" s="46"/>
      <c r="AQ53" s="46"/>
      <c r="AR53" s="49"/>
      <c r="AS53" s="50"/>
      <c r="AT53" s="52"/>
      <c r="AU53" s="53"/>
      <c r="AV53" s="58"/>
      <c r="AW53" s="58"/>
      <c r="AX53" s="54" t="s">
        <v>69</v>
      </c>
      <c r="AY53" s="43" t="s">
        <v>70</v>
      </c>
      <c r="AZ53" s="43" t="s">
        <v>70</v>
      </c>
      <c r="BA53" s="43" t="s">
        <v>71</v>
      </c>
      <c r="BB53" s="43" t="s">
        <v>69</v>
      </c>
      <c r="BC53" s="51">
        <v>31</v>
      </c>
      <c r="BD53" s="43" t="s">
        <v>70</v>
      </c>
      <c r="BE53" s="9">
        <f t="shared" si="3"/>
        <v>44</v>
      </c>
      <c r="BF53" s="9" t="str">
        <f t="shared" si="2"/>
        <v>..</v>
      </c>
    </row>
    <row r="54" spans="1:58" s="9" customFormat="1" ht="18" customHeight="1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1" t="s">
        <v>93</v>
      </c>
      <c r="N54" s="44"/>
      <c r="O54" s="44"/>
      <c r="P54" s="44"/>
      <c r="Q54" s="45"/>
      <c r="R54" s="46"/>
      <c r="S54" s="46"/>
      <c r="T54" s="46"/>
      <c r="U54" s="44" t="s">
        <v>96</v>
      </c>
      <c r="V54" s="46"/>
      <c r="W54" s="44"/>
      <c r="X54" s="44"/>
      <c r="Y54" s="44"/>
      <c r="Z54" s="44"/>
      <c r="AA54" s="44"/>
      <c r="AB54" s="42"/>
      <c r="AC54" s="47" t="s">
        <v>97</v>
      </c>
      <c r="AD54" s="48"/>
      <c r="AE54" s="43"/>
      <c r="AF54" s="43"/>
      <c r="AG54" s="43"/>
      <c r="AH54" s="43"/>
      <c r="AI54" s="55"/>
      <c r="AJ54" s="52"/>
      <c r="AK54" s="56"/>
      <c r="AL54" s="46"/>
      <c r="AM54" s="46"/>
      <c r="AN54" s="46"/>
      <c r="AO54" s="46"/>
      <c r="AP54" s="46"/>
      <c r="AQ54" s="46"/>
      <c r="AR54" s="49"/>
      <c r="AS54" s="50"/>
      <c r="AT54" s="52"/>
      <c r="AU54" s="53"/>
      <c r="AV54" s="58"/>
      <c r="AW54" s="58"/>
      <c r="AX54" s="54" t="s">
        <v>69</v>
      </c>
      <c r="AY54" s="43" t="s">
        <v>70</v>
      </c>
      <c r="AZ54" s="43" t="s">
        <v>70</v>
      </c>
      <c r="BA54" s="43" t="s">
        <v>71</v>
      </c>
      <c r="BB54" s="43" t="s">
        <v>69</v>
      </c>
      <c r="BC54" s="51">
        <v>31</v>
      </c>
      <c r="BD54" s="43" t="s">
        <v>70</v>
      </c>
      <c r="BE54" s="9">
        <f t="shared" si="3"/>
        <v>45</v>
      </c>
      <c r="BF54" s="9" t="str">
        <f t="shared" si="2"/>
        <v>..</v>
      </c>
    </row>
    <row r="55" spans="1:58" s="9" customFormat="1" ht="18" customHeight="1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1" t="s">
        <v>93</v>
      </c>
      <c r="N55" s="44"/>
      <c r="O55" s="44"/>
      <c r="P55" s="44"/>
      <c r="Q55" s="45"/>
      <c r="R55" s="46"/>
      <c r="S55" s="46"/>
      <c r="T55" s="46"/>
      <c r="U55" s="44" t="s">
        <v>96</v>
      </c>
      <c r="V55" s="46"/>
      <c r="W55" s="44"/>
      <c r="X55" s="44"/>
      <c r="Y55" s="44"/>
      <c r="Z55" s="44"/>
      <c r="AA55" s="44"/>
      <c r="AB55" s="42"/>
      <c r="AC55" s="47" t="s">
        <v>97</v>
      </c>
      <c r="AD55" s="48"/>
      <c r="AE55" s="43"/>
      <c r="AF55" s="43"/>
      <c r="AG55" s="43"/>
      <c r="AH55" s="43"/>
      <c r="AI55" s="55"/>
      <c r="AJ55" s="52"/>
      <c r="AK55" s="56"/>
      <c r="AL55" s="46"/>
      <c r="AM55" s="46"/>
      <c r="AN55" s="46"/>
      <c r="AO55" s="46"/>
      <c r="AP55" s="46"/>
      <c r="AQ55" s="46"/>
      <c r="AR55" s="49"/>
      <c r="AS55" s="50"/>
      <c r="AT55" s="52"/>
      <c r="AU55" s="53"/>
      <c r="AV55" s="58"/>
      <c r="AW55" s="58"/>
      <c r="AX55" s="54" t="s">
        <v>69</v>
      </c>
      <c r="AY55" s="43" t="s">
        <v>70</v>
      </c>
      <c r="AZ55" s="43" t="s">
        <v>70</v>
      </c>
      <c r="BA55" s="43" t="s">
        <v>71</v>
      </c>
      <c r="BB55" s="43" t="s">
        <v>69</v>
      </c>
      <c r="BC55" s="51">
        <v>31</v>
      </c>
      <c r="BD55" s="43" t="s">
        <v>70</v>
      </c>
      <c r="BE55" s="9">
        <f t="shared" si="3"/>
        <v>46</v>
      </c>
      <c r="BF55" s="9" t="str">
        <f t="shared" si="2"/>
        <v>..</v>
      </c>
    </row>
    <row r="56" spans="1:58" s="9" customFormat="1" ht="18" customHeight="1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1" t="s">
        <v>93</v>
      </c>
      <c r="N56" s="44"/>
      <c r="O56" s="44"/>
      <c r="P56" s="44"/>
      <c r="Q56" s="45"/>
      <c r="R56" s="46"/>
      <c r="S56" s="46"/>
      <c r="T56" s="46"/>
      <c r="U56" s="44" t="s">
        <v>96</v>
      </c>
      <c r="V56" s="46"/>
      <c r="W56" s="44"/>
      <c r="X56" s="44"/>
      <c r="Y56" s="44"/>
      <c r="Z56" s="44"/>
      <c r="AA56" s="44"/>
      <c r="AB56" s="42"/>
      <c r="AC56" s="47" t="s">
        <v>97</v>
      </c>
      <c r="AD56" s="48"/>
      <c r="AE56" s="43"/>
      <c r="AF56" s="43"/>
      <c r="AG56" s="43"/>
      <c r="AH56" s="43"/>
      <c r="AI56" s="55"/>
      <c r="AJ56" s="52"/>
      <c r="AK56" s="56"/>
      <c r="AL56" s="46"/>
      <c r="AM56" s="46"/>
      <c r="AN56" s="46"/>
      <c r="AO56" s="46"/>
      <c r="AP56" s="46"/>
      <c r="AQ56" s="46"/>
      <c r="AR56" s="49"/>
      <c r="AS56" s="50"/>
      <c r="AT56" s="52"/>
      <c r="AU56" s="53"/>
      <c r="AV56" s="58"/>
      <c r="AW56" s="58"/>
      <c r="AX56" s="54" t="s">
        <v>69</v>
      </c>
      <c r="AY56" s="43" t="s">
        <v>70</v>
      </c>
      <c r="AZ56" s="43" t="s">
        <v>70</v>
      </c>
      <c r="BA56" s="43" t="s">
        <v>71</v>
      </c>
      <c r="BB56" s="43" t="s">
        <v>69</v>
      </c>
      <c r="BC56" s="51">
        <v>31</v>
      </c>
      <c r="BD56" s="43" t="s">
        <v>70</v>
      </c>
      <c r="BE56" s="9">
        <f t="shared" si="3"/>
        <v>47</v>
      </c>
      <c r="BF56" s="9" t="str">
        <f t="shared" si="2"/>
        <v>..</v>
      </c>
    </row>
    <row r="57" spans="1:58" s="9" customFormat="1" ht="18" customHeight="1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1" t="s">
        <v>93</v>
      </c>
      <c r="N57" s="44"/>
      <c r="O57" s="44"/>
      <c r="P57" s="44"/>
      <c r="Q57" s="45"/>
      <c r="R57" s="46"/>
      <c r="S57" s="46"/>
      <c r="T57" s="46"/>
      <c r="U57" s="44" t="s">
        <v>96</v>
      </c>
      <c r="V57" s="46"/>
      <c r="W57" s="44"/>
      <c r="X57" s="44"/>
      <c r="Y57" s="44"/>
      <c r="Z57" s="44"/>
      <c r="AA57" s="44"/>
      <c r="AB57" s="42"/>
      <c r="AC57" s="47" t="s">
        <v>97</v>
      </c>
      <c r="AD57" s="48"/>
      <c r="AE57" s="43"/>
      <c r="AF57" s="43"/>
      <c r="AG57" s="43"/>
      <c r="AH57" s="43"/>
      <c r="AI57" s="55"/>
      <c r="AJ57" s="52"/>
      <c r="AK57" s="56"/>
      <c r="AL57" s="46"/>
      <c r="AM57" s="46"/>
      <c r="AN57" s="46"/>
      <c r="AO57" s="46"/>
      <c r="AP57" s="46"/>
      <c r="AQ57" s="46"/>
      <c r="AR57" s="49"/>
      <c r="AS57" s="50"/>
      <c r="AT57" s="52"/>
      <c r="AU57" s="53"/>
      <c r="AV57" s="58"/>
      <c r="AW57" s="58"/>
      <c r="AX57" s="54" t="s">
        <v>69</v>
      </c>
      <c r="AY57" s="43" t="s">
        <v>70</v>
      </c>
      <c r="AZ57" s="43" t="s">
        <v>70</v>
      </c>
      <c r="BA57" s="43" t="s">
        <v>71</v>
      </c>
      <c r="BB57" s="43" t="s">
        <v>69</v>
      </c>
      <c r="BC57" s="51">
        <v>31</v>
      </c>
      <c r="BD57" s="43" t="s">
        <v>70</v>
      </c>
      <c r="BE57" s="9">
        <f t="shared" si="3"/>
        <v>48</v>
      </c>
      <c r="BF57" s="9" t="str">
        <f t="shared" si="2"/>
        <v>..</v>
      </c>
    </row>
    <row r="58" spans="1:58" s="9" customFormat="1" ht="18" customHeight="1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1" t="s">
        <v>93</v>
      </c>
      <c r="N58" s="44"/>
      <c r="O58" s="44"/>
      <c r="P58" s="44"/>
      <c r="Q58" s="45"/>
      <c r="R58" s="46"/>
      <c r="S58" s="46"/>
      <c r="T58" s="46"/>
      <c r="U58" s="44" t="s">
        <v>96</v>
      </c>
      <c r="V58" s="46"/>
      <c r="W58" s="44"/>
      <c r="X58" s="44"/>
      <c r="Y58" s="44"/>
      <c r="Z58" s="44"/>
      <c r="AA58" s="44"/>
      <c r="AB58" s="42"/>
      <c r="AC58" s="47" t="s">
        <v>97</v>
      </c>
      <c r="AD58" s="48"/>
      <c r="AE58" s="43"/>
      <c r="AF58" s="43"/>
      <c r="AG58" s="43"/>
      <c r="AH58" s="43"/>
      <c r="AI58" s="55"/>
      <c r="AJ58" s="52"/>
      <c r="AK58" s="56"/>
      <c r="AL58" s="46"/>
      <c r="AM58" s="46"/>
      <c r="AN58" s="46"/>
      <c r="AO58" s="46"/>
      <c r="AP58" s="46"/>
      <c r="AQ58" s="46"/>
      <c r="AR58" s="49"/>
      <c r="AS58" s="50"/>
      <c r="AT58" s="52"/>
      <c r="AU58" s="53"/>
      <c r="AV58" s="58"/>
      <c r="AW58" s="58"/>
      <c r="AX58" s="54" t="s">
        <v>69</v>
      </c>
      <c r="AY58" s="43" t="s">
        <v>70</v>
      </c>
      <c r="AZ58" s="43" t="s">
        <v>70</v>
      </c>
      <c r="BA58" s="43" t="s">
        <v>71</v>
      </c>
      <c r="BB58" s="43" t="s">
        <v>69</v>
      </c>
      <c r="BC58" s="51">
        <v>31</v>
      </c>
      <c r="BD58" s="43" t="s">
        <v>70</v>
      </c>
      <c r="BE58" s="9">
        <f t="shared" si="3"/>
        <v>49</v>
      </c>
      <c r="BF58" s="9" t="str">
        <f t="shared" si="2"/>
        <v>..</v>
      </c>
    </row>
    <row r="59" spans="1:58" s="9" customFormat="1" ht="18" customHeight="1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1" t="s">
        <v>93</v>
      </c>
      <c r="N59" s="44"/>
      <c r="O59" s="44"/>
      <c r="P59" s="44"/>
      <c r="Q59" s="45"/>
      <c r="R59" s="46"/>
      <c r="S59" s="46"/>
      <c r="T59" s="46"/>
      <c r="U59" s="44" t="s">
        <v>96</v>
      </c>
      <c r="V59" s="46"/>
      <c r="W59" s="44"/>
      <c r="X59" s="44"/>
      <c r="Y59" s="44"/>
      <c r="Z59" s="44"/>
      <c r="AA59" s="44"/>
      <c r="AB59" s="42"/>
      <c r="AC59" s="47" t="s">
        <v>97</v>
      </c>
      <c r="AD59" s="48"/>
      <c r="AE59" s="43"/>
      <c r="AF59" s="43"/>
      <c r="AG59" s="43"/>
      <c r="AH59" s="43"/>
      <c r="AI59" s="55"/>
      <c r="AJ59" s="52"/>
      <c r="AK59" s="56"/>
      <c r="AL59" s="46"/>
      <c r="AM59" s="46"/>
      <c r="AN59" s="46"/>
      <c r="AO59" s="46"/>
      <c r="AP59" s="46"/>
      <c r="AQ59" s="46"/>
      <c r="AR59" s="49"/>
      <c r="AS59" s="50"/>
      <c r="AT59" s="52"/>
      <c r="AU59" s="53"/>
      <c r="AV59" s="58"/>
      <c r="AW59" s="58"/>
      <c r="AX59" s="54" t="s">
        <v>69</v>
      </c>
      <c r="AY59" s="43" t="s">
        <v>70</v>
      </c>
      <c r="AZ59" s="43" t="s">
        <v>70</v>
      </c>
      <c r="BA59" s="43" t="s">
        <v>71</v>
      </c>
      <c r="BB59" s="43" t="s">
        <v>69</v>
      </c>
      <c r="BC59" s="51">
        <v>31</v>
      </c>
      <c r="BD59" s="43" t="s">
        <v>70</v>
      </c>
      <c r="BE59" s="9">
        <f t="shared" si="3"/>
        <v>50</v>
      </c>
      <c r="BF59" s="9" t="str">
        <f t="shared" si="2"/>
        <v>..</v>
      </c>
    </row>
    <row r="60" spans="1:58" s="9" customFormat="1" ht="18" customHeight="1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1" t="s">
        <v>93</v>
      </c>
      <c r="N60" s="44"/>
      <c r="O60" s="44"/>
      <c r="P60" s="44"/>
      <c r="Q60" s="45"/>
      <c r="R60" s="46"/>
      <c r="S60" s="46"/>
      <c r="T60" s="46"/>
      <c r="U60" s="44" t="s">
        <v>96</v>
      </c>
      <c r="V60" s="46"/>
      <c r="W60" s="44"/>
      <c r="X60" s="44"/>
      <c r="Y60" s="44"/>
      <c r="Z60" s="44"/>
      <c r="AA60" s="44"/>
      <c r="AB60" s="42"/>
      <c r="AC60" s="47" t="s">
        <v>97</v>
      </c>
      <c r="AD60" s="48"/>
      <c r="AE60" s="43"/>
      <c r="AF60" s="43"/>
      <c r="AG60" s="43"/>
      <c r="AH60" s="43"/>
      <c r="AI60" s="55"/>
      <c r="AJ60" s="52"/>
      <c r="AK60" s="56"/>
      <c r="AL60" s="46"/>
      <c r="AM60" s="46"/>
      <c r="AN60" s="46"/>
      <c r="AO60" s="46"/>
      <c r="AP60" s="46"/>
      <c r="AQ60" s="46"/>
      <c r="AR60" s="49"/>
      <c r="AS60" s="50"/>
      <c r="AT60" s="52"/>
      <c r="AU60" s="53"/>
      <c r="AV60" s="58"/>
      <c r="AW60" s="58"/>
      <c r="AX60" s="54" t="s">
        <v>69</v>
      </c>
      <c r="AY60" s="43" t="s">
        <v>70</v>
      </c>
      <c r="AZ60" s="43" t="s">
        <v>70</v>
      </c>
      <c r="BA60" s="43" t="s">
        <v>71</v>
      </c>
      <c r="BB60" s="43" t="s">
        <v>69</v>
      </c>
      <c r="BC60" s="51">
        <v>31</v>
      </c>
      <c r="BD60" s="43" t="s">
        <v>70</v>
      </c>
      <c r="BE60" s="9">
        <f t="shared" si="3"/>
        <v>51</v>
      </c>
      <c r="BF60" s="9" t="str">
        <f t="shared" si="2"/>
        <v>..</v>
      </c>
    </row>
    <row r="61" spans="1:58" s="9" customFormat="1" ht="18" customHeight="1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1" t="s">
        <v>93</v>
      </c>
      <c r="N61" s="44"/>
      <c r="O61" s="44"/>
      <c r="P61" s="44"/>
      <c r="Q61" s="45"/>
      <c r="R61" s="46"/>
      <c r="S61" s="46"/>
      <c r="T61" s="46"/>
      <c r="U61" s="44" t="s">
        <v>96</v>
      </c>
      <c r="V61" s="46"/>
      <c r="W61" s="44"/>
      <c r="X61" s="44"/>
      <c r="Y61" s="44"/>
      <c r="Z61" s="44"/>
      <c r="AA61" s="44"/>
      <c r="AB61" s="42"/>
      <c r="AC61" s="47" t="s">
        <v>97</v>
      </c>
      <c r="AD61" s="48"/>
      <c r="AE61" s="43"/>
      <c r="AF61" s="43"/>
      <c r="AG61" s="43"/>
      <c r="AH61" s="43"/>
      <c r="AI61" s="55"/>
      <c r="AJ61" s="52"/>
      <c r="AK61" s="56"/>
      <c r="AL61" s="46"/>
      <c r="AM61" s="46"/>
      <c r="AN61" s="46"/>
      <c r="AO61" s="46"/>
      <c r="AP61" s="46"/>
      <c r="AQ61" s="46"/>
      <c r="AR61" s="49"/>
      <c r="AS61" s="50"/>
      <c r="AT61" s="52"/>
      <c r="AU61" s="53"/>
      <c r="AV61" s="58"/>
      <c r="AW61" s="58"/>
      <c r="AX61" s="54" t="s">
        <v>69</v>
      </c>
      <c r="AY61" s="43" t="s">
        <v>70</v>
      </c>
      <c r="AZ61" s="43" t="s">
        <v>70</v>
      </c>
      <c r="BA61" s="43" t="s">
        <v>71</v>
      </c>
      <c r="BB61" s="43" t="s">
        <v>69</v>
      </c>
      <c r="BC61" s="51">
        <v>31</v>
      </c>
      <c r="BD61" s="43" t="s">
        <v>70</v>
      </c>
      <c r="BE61" s="9">
        <f t="shared" si="3"/>
        <v>52</v>
      </c>
      <c r="BF61" s="9" t="str">
        <f t="shared" si="2"/>
        <v>..</v>
      </c>
    </row>
    <row r="62" spans="1:58" s="9" customFormat="1" ht="18" customHeight="1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1" t="s">
        <v>93</v>
      </c>
      <c r="N62" s="44"/>
      <c r="O62" s="44"/>
      <c r="P62" s="44"/>
      <c r="Q62" s="45"/>
      <c r="R62" s="46"/>
      <c r="S62" s="46"/>
      <c r="T62" s="46"/>
      <c r="U62" s="44" t="s">
        <v>96</v>
      </c>
      <c r="V62" s="46"/>
      <c r="W62" s="44"/>
      <c r="X62" s="44"/>
      <c r="Y62" s="44"/>
      <c r="Z62" s="44"/>
      <c r="AA62" s="44"/>
      <c r="AB62" s="42"/>
      <c r="AC62" s="47" t="s">
        <v>97</v>
      </c>
      <c r="AD62" s="48"/>
      <c r="AE62" s="43"/>
      <c r="AF62" s="43"/>
      <c r="AG62" s="43"/>
      <c r="AH62" s="43"/>
      <c r="AI62" s="55"/>
      <c r="AJ62" s="52"/>
      <c r="AK62" s="56"/>
      <c r="AL62" s="46"/>
      <c r="AM62" s="46"/>
      <c r="AN62" s="46"/>
      <c r="AO62" s="46"/>
      <c r="AP62" s="46"/>
      <c r="AQ62" s="46"/>
      <c r="AR62" s="49"/>
      <c r="AS62" s="50"/>
      <c r="AT62" s="52"/>
      <c r="AU62" s="53"/>
      <c r="AV62" s="58"/>
      <c r="AW62" s="58"/>
      <c r="AX62" s="54" t="s">
        <v>69</v>
      </c>
      <c r="AY62" s="43" t="s">
        <v>70</v>
      </c>
      <c r="AZ62" s="43" t="s">
        <v>70</v>
      </c>
      <c r="BA62" s="43" t="s">
        <v>71</v>
      </c>
      <c r="BB62" s="43" t="s">
        <v>69</v>
      </c>
      <c r="BC62" s="51">
        <v>31</v>
      </c>
      <c r="BD62" s="43" t="s">
        <v>70</v>
      </c>
      <c r="BE62" s="9">
        <f t="shared" si="3"/>
        <v>53</v>
      </c>
      <c r="BF62" s="9" t="str">
        <f t="shared" si="2"/>
        <v>..</v>
      </c>
    </row>
    <row r="63" spans="1:58" s="9" customFormat="1" ht="18" customHeight="1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1" t="s">
        <v>93</v>
      </c>
      <c r="N63" s="44"/>
      <c r="O63" s="44"/>
      <c r="P63" s="44"/>
      <c r="Q63" s="45"/>
      <c r="R63" s="46"/>
      <c r="S63" s="46"/>
      <c r="T63" s="46"/>
      <c r="U63" s="44" t="s">
        <v>96</v>
      </c>
      <c r="V63" s="46"/>
      <c r="W63" s="44"/>
      <c r="X63" s="44"/>
      <c r="Y63" s="44"/>
      <c r="Z63" s="44"/>
      <c r="AA63" s="44"/>
      <c r="AB63" s="42"/>
      <c r="AC63" s="47" t="s">
        <v>97</v>
      </c>
      <c r="AD63" s="48"/>
      <c r="AE63" s="43"/>
      <c r="AF63" s="43"/>
      <c r="AG63" s="43"/>
      <c r="AH63" s="43"/>
      <c r="AI63" s="55"/>
      <c r="AJ63" s="52"/>
      <c r="AK63" s="56"/>
      <c r="AL63" s="46"/>
      <c r="AM63" s="46"/>
      <c r="AN63" s="46"/>
      <c r="AO63" s="46"/>
      <c r="AP63" s="46"/>
      <c r="AQ63" s="46"/>
      <c r="AR63" s="49"/>
      <c r="AS63" s="50"/>
      <c r="AT63" s="52"/>
      <c r="AU63" s="53"/>
      <c r="AV63" s="58"/>
      <c r="AW63" s="58"/>
      <c r="AX63" s="54" t="s">
        <v>69</v>
      </c>
      <c r="AY63" s="43" t="s">
        <v>70</v>
      </c>
      <c r="AZ63" s="43" t="s">
        <v>70</v>
      </c>
      <c r="BA63" s="43" t="s">
        <v>71</v>
      </c>
      <c r="BB63" s="43" t="s">
        <v>69</v>
      </c>
      <c r="BC63" s="51">
        <v>31</v>
      </c>
      <c r="BD63" s="43" t="s">
        <v>70</v>
      </c>
      <c r="BE63" s="9">
        <f t="shared" si="3"/>
        <v>54</v>
      </c>
      <c r="BF63" s="9" t="str">
        <f t="shared" si="2"/>
        <v>..</v>
      </c>
    </row>
    <row r="64" spans="1:58" s="9" customFormat="1" ht="18" customHeight="1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1" t="s">
        <v>93</v>
      </c>
      <c r="N64" s="44"/>
      <c r="O64" s="44"/>
      <c r="P64" s="44"/>
      <c r="Q64" s="45"/>
      <c r="R64" s="46"/>
      <c r="S64" s="46"/>
      <c r="T64" s="46"/>
      <c r="U64" s="44" t="s">
        <v>96</v>
      </c>
      <c r="V64" s="46"/>
      <c r="W64" s="44"/>
      <c r="X64" s="44"/>
      <c r="Y64" s="44"/>
      <c r="Z64" s="44"/>
      <c r="AA64" s="44"/>
      <c r="AB64" s="42"/>
      <c r="AC64" s="47" t="s">
        <v>97</v>
      </c>
      <c r="AD64" s="48"/>
      <c r="AE64" s="43"/>
      <c r="AF64" s="43"/>
      <c r="AG64" s="43"/>
      <c r="AH64" s="43"/>
      <c r="AI64" s="55"/>
      <c r="AJ64" s="52"/>
      <c r="AK64" s="56"/>
      <c r="AL64" s="46"/>
      <c r="AM64" s="46"/>
      <c r="AN64" s="46"/>
      <c r="AO64" s="46"/>
      <c r="AP64" s="46"/>
      <c r="AQ64" s="46"/>
      <c r="AR64" s="49"/>
      <c r="AS64" s="50"/>
      <c r="AT64" s="52"/>
      <c r="AU64" s="53"/>
      <c r="AV64" s="58"/>
      <c r="AW64" s="58"/>
      <c r="AX64" s="54" t="s">
        <v>69</v>
      </c>
      <c r="AY64" s="43" t="s">
        <v>70</v>
      </c>
      <c r="AZ64" s="43" t="s">
        <v>70</v>
      </c>
      <c r="BA64" s="43" t="s">
        <v>71</v>
      </c>
      <c r="BB64" s="43" t="s">
        <v>69</v>
      </c>
      <c r="BC64" s="51">
        <v>31</v>
      </c>
      <c r="BD64" s="43" t="s">
        <v>70</v>
      </c>
      <c r="BE64" s="9">
        <f t="shared" si="3"/>
        <v>55</v>
      </c>
      <c r="BF64" s="9" t="str">
        <f t="shared" si="2"/>
        <v>..</v>
      </c>
    </row>
    <row r="65" spans="1:58" s="9" customFormat="1" ht="18" customHeight="1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1" t="s">
        <v>93</v>
      </c>
      <c r="N65" s="44"/>
      <c r="O65" s="44"/>
      <c r="P65" s="44"/>
      <c r="Q65" s="45"/>
      <c r="R65" s="46"/>
      <c r="S65" s="46"/>
      <c r="T65" s="46"/>
      <c r="U65" s="44" t="s">
        <v>96</v>
      </c>
      <c r="V65" s="46"/>
      <c r="W65" s="44"/>
      <c r="X65" s="44"/>
      <c r="Y65" s="44"/>
      <c r="Z65" s="44"/>
      <c r="AA65" s="44"/>
      <c r="AB65" s="42"/>
      <c r="AC65" s="47" t="s">
        <v>97</v>
      </c>
      <c r="AD65" s="48"/>
      <c r="AE65" s="43"/>
      <c r="AF65" s="43"/>
      <c r="AG65" s="43"/>
      <c r="AH65" s="43"/>
      <c r="AI65" s="55"/>
      <c r="AJ65" s="52"/>
      <c r="AK65" s="56"/>
      <c r="AL65" s="46"/>
      <c r="AM65" s="46"/>
      <c r="AN65" s="46"/>
      <c r="AO65" s="46"/>
      <c r="AP65" s="46"/>
      <c r="AQ65" s="46"/>
      <c r="AR65" s="49"/>
      <c r="AS65" s="50"/>
      <c r="AT65" s="52"/>
      <c r="AU65" s="53"/>
      <c r="AV65" s="58"/>
      <c r="AW65" s="58"/>
      <c r="AX65" s="54" t="s">
        <v>69</v>
      </c>
      <c r="AY65" s="43" t="s">
        <v>70</v>
      </c>
      <c r="AZ65" s="43" t="s">
        <v>70</v>
      </c>
      <c r="BA65" s="43" t="s">
        <v>71</v>
      </c>
      <c r="BB65" s="43" t="s">
        <v>69</v>
      </c>
      <c r="BC65" s="51">
        <v>31</v>
      </c>
      <c r="BD65" s="43" t="s">
        <v>70</v>
      </c>
      <c r="BE65" s="9">
        <f t="shared" si="3"/>
        <v>56</v>
      </c>
      <c r="BF65" s="9" t="str">
        <f t="shared" si="2"/>
        <v>..</v>
      </c>
    </row>
    <row r="66" spans="1:58" s="9" customFormat="1" ht="18" customHeight="1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1" t="s">
        <v>93</v>
      </c>
      <c r="N66" s="44"/>
      <c r="O66" s="44"/>
      <c r="P66" s="44"/>
      <c r="Q66" s="45"/>
      <c r="R66" s="46"/>
      <c r="S66" s="46"/>
      <c r="T66" s="46"/>
      <c r="U66" s="44" t="s">
        <v>96</v>
      </c>
      <c r="V66" s="46"/>
      <c r="W66" s="44"/>
      <c r="X66" s="44"/>
      <c r="Y66" s="44"/>
      <c r="Z66" s="44"/>
      <c r="AA66" s="44"/>
      <c r="AB66" s="42"/>
      <c r="AC66" s="47" t="s">
        <v>97</v>
      </c>
      <c r="AD66" s="48"/>
      <c r="AE66" s="43"/>
      <c r="AF66" s="43"/>
      <c r="AG66" s="43"/>
      <c r="AH66" s="43"/>
      <c r="AI66" s="55"/>
      <c r="AJ66" s="52"/>
      <c r="AK66" s="56"/>
      <c r="AL66" s="46"/>
      <c r="AM66" s="46"/>
      <c r="AN66" s="46"/>
      <c r="AO66" s="46"/>
      <c r="AP66" s="46"/>
      <c r="AQ66" s="46"/>
      <c r="AR66" s="49"/>
      <c r="AS66" s="50"/>
      <c r="AT66" s="52"/>
      <c r="AU66" s="53"/>
      <c r="AV66" s="58"/>
      <c r="AW66" s="58"/>
      <c r="AX66" s="54" t="s">
        <v>69</v>
      </c>
      <c r="AY66" s="43" t="s">
        <v>70</v>
      </c>
      <c r="AZ66" s="43" t="s">
        <v>70</v>
      </c>
      <c r="BA66" s="43" t="s">
        <v>71</v>
      </c>
      <c r="BB66" s="43" t="s">
        <v>69</v>
      </c>
      <c r="BC66" s="51">
        <v>31</v>
      </c>
      <c r="BD66" s="43" t="s">
        <v>70</v>
      </c>
      <c r="BE66" s="9">
        <f t="shared" si="3"/>
        <v>57</v>
      </c>
      <c r="BF66" s="9" t="str">
        <f t="shared" si="2"/>
        <v>..</v>
      </c>
    </row>
    <row r="67" spans="1:58" s="9" customFormat="1" ht="18" customHeight="1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1" t="s">
        <v>93</v>
      </c>
      <c r="N67" s="44"/>
      <c r="O67" s="44"/>
      <c r="P67" s="44"/>
      <c r="Q67" s="45"/>
      <c r="R67" s="46"/>
      <c r="S67" s="46"/>
      <c r="T67" s="46"/>
      <c r="U67" s="44" t="s">
        <v>96</v>
      </c>
      <c r="V67" s="46"/>
      <c r="W67" s="44"/>
      <c r="X67" s="44"/>
      <c r="Y67" s="44"/>
      <c r="Z67" s="44"/>
      <c r="AA67" s="44"/>
      <c r="AB67" s="42"/>
      <c r="AC67" s="47" t="s">
        <v>97</v>
      </c>
      <c r="AD67" s="48"/>
      <c r="AE67" s="43"/>
      <c r="AF67" s="43"/>
      <c r="AG67" s="43"/>
      <c r="AH67" s="43"/>
      <c r="AI67" s="55"/>
      <c r="AJ67" s="52"/>
      <c r="AK67" s="56"/>
      <c r="AL67" s="46"/>
      <c r="AM67" s="46"/>
      <c r="AN67" s="46"/>
      <c r="AO67" s="46"/>
      <c r="AP67" s="46"/>
      <c r="AQ67" s="46"/>
      <c r="AR67" s="49"/>
      <c r="AS67" s="50"/>
      <c r="AT67" s="52"/>
      <c r="AU67" s="53"/>
      <c r="AV67" s="58"/>
      <c r="AW67" s="58"/>
      <c r="AX67" s="54" t="s">
        <v>69</v>
      </c>
      <c r="AY67" s="43" t="s">
        <v>70</v>
      </c>
      <c r="AZ67" s="43" t="s">
        <v>70</v>
      </c>
      <c r="BA67" s="43" t="s">
        <v>71</v>
      </c>
      <c r="BB67" s="43" t="s">
        <v>69</v>
      </c>
      <c r="BC67" s="51">
        <v>31</v>
      </c>
      <c r="BD67" s="43" t="s">
        <v>70</v>
      </c>
      <c r="BE67" s="9">
        <f t="shared" si="3"/>
        <v>58</v>
      </c>
      <c r="BF67" s="9" t="str">
        <f t="shared" si="2"/>
        <v>..</v>
      </c>
    </row>
    <row r="68" spans="1:58" s="9" customFormat="1" ht="18" customHeight="1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1" t="s">
        <v>93</v>
      </c>
      <c r="N68" s="44"/>
      <c r="O68" s="44"/>
      <c r="P68" s="44"/>
      <c r="Q68" s="45"/>
      <c r="R68" s="46"/>
      <c r="S68" s="46"/>
      <c r="T68" s="46"/>
      <c r="U68" s="44" t="s">
        <v>96</v>
      </c>
      <c r="V68" s="46"/>
      <c r="W68" s="44"/>
      <c r="X68" s="44"/>
      <c r="Y68" s="44"/>
      <c r="Z68" s="44"/>
      <c r="AA68" s="44"/>
      <c r="AB68" s="42"/>
      <c r="AC68" s="47" t="s">
        <v>97</v>
      </c>
      <c r="AD68" s="48"/>
      <c r="AE68" s="43"/>
      <c r="AF68" s="43"/>
      <c r="AG68" s="43"/>
      <c r="AH68" s="43"/>
      <c r="AI68" s="55"/>
      <c r="AJ68" s="52"/>
      <c r="AK68" s="56"/>
      <c r="AL68" s="46"/>
      <c r="AM68" s="46"/>
      <c r="AN68" s="46"/>
      <c r="AO68" s="46"/>
      <c r="AP68" s="46"/>
      <c r="AQ68" s="46"/>
      <c r="AR68" s="49"/>
      <c r="AS68" s="50"/>
      <c r="AT68" s="52"/>
      <c r="AU68" s="53"/>
      <c r="AV68" s="58"/>
      <c r="AW68" s="58"/>
      <c r="AX68" s="54" t="s">
        <v>69</v>
      </c>
      <c r="AY68" s="43" t="s">
        <v>70</v>
      </c>
      <c r="AZ68" s="43" t="s">
        <v>70</v>
      </c>
      <c r="BA68" s="43" t="s">
        <v>71</v>
      </c>
      <c r="BB68" s="43" t="s">
        <v>69</v>
      </c>
      <c r="BC68" s="51">
        <v>31</v>
      </c>
      <c r="BD68" s="43" t="s">
        <v>70</v>
      </c>
      <c r="BE68" s="9">
        <f t="shared" si="3"/>
        <v>59</v>
      </c>
      <c r="BF68" s="9" t="str">
        <f t="shared" si="2"/>
        <v>..</v>
      </c>
    </row>
    <row r="69" spans="1:58" s="9" customFormat="1" ht="18" customHeight="1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1" t="s">
        <v>93</v>
      </c>
      <c r="N69" s="44"/>
      <c r="O69" s="44"/>
      <c r="P69" s="44"/>
      <c r="Q69" s="45"/>
      <c r="R69" s="46"/>
      <c r="S69" s="46"/>
      <c r="T69" s="46"/>
      <c r="U69" s="44" t="s">
        <v>96</v>
      </c>
      <c r="V69" s="46"/>
      <c r="W69" s="44"/>
      <c r="X69" s="44"/>
      <c r="Y69" s="44"/>
      <c r="Z69" s="44"/>
      <c r="AA69" s="44"/>
      <c r="AB69" s="42"/>
      <c r="AC69" s="47" t="s">
        <v>97</v>
      </c>
      <c r="AD69" s="48"/>
      <c r="AE69" s="43"/>
      <c r="AF69" s="43"/>
      <c r="AG69" s="43"/>
      <c r="AH69" s="43"/>
      <c r="AI69" s="55"/>
      <c r="AJ69" s="52"/>
      <c r="AK69" s="56"/>
      <c r="AL69" s="46"/>
      <c r="AM69" s="46"/>
      <c r="AN69" s="46"/>
      <c r="AO69" s="46"/>
      <c r="AP69" s="46"/>
      <c r="AQ69" s="46"/>
      <c r="AR69" s="49"/>
      <c r="AS69" s="50"/>
      <c r="AT69" s="52"/>
      <c r="AU69" s="53"/>
      <c r="AV69" s="58"/>
      <c r="AW69" s="58"/>
      <c r="AX69" s="54" t="s">
        <v>69</v>
      </c>
      <c r="AY69" s="43" t="s">
        <v>70</v>
      </c>
      <c r="AZ69" s="43" t="s">
        <v>70</v>
      </c>
      <c r="BA69" s="43" t="s">
        <v>71</v>
      </c>
      <c r="BB69" s="43" t="s">
        <v>69</v>
      </c>
      <c r="BC69" s="51">
        <v>31</v>
      </c>
      <c r="BD69" s="43" t="s">
        <v>70</v>
      </c>
      <c r="BE69" s="9">
        <f t="shared" si="3"/>
        <v>60</v>
      </c>
      <c r="BF69" s="9" t="str">
        <f t="shared" si="2"/>
        <v>..</v>
      </c>
    </row>
    <row r="70" spans="1:58" s="9" customFormat="1" ht="18" customHeight="1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1" t="s">
        <v>93</v>
      </c>
      <c r="N70" s="44"/>
      <c r="O70" s="44"/>
      <c r="P70" s="44"/>
      <c r="Q70" s="45"/>
      <c r="R70" s="46"/>
      <c r="S70" s="46"/>
      <c r="T70" s="46"/>
      <c r="U70" s="44" t="s">
        <v>96</v>
      </c>
      <c r="V70" s="46"/>
      <c r="W70" s="44"/>
      <c r="X70" s="44"/>
      <c r="Y70" s="44"/>
      <c r="Z70" s="44"/>
      <c r="AA70" s="44"/>
      <c r="AB70" s="42"/>
      <c r="AC70" s="47" t="s">
        <v>97</v>
      </c>
      <c r="AD70" s="48"/>
      <c r="AE70" s="43"/>
      <c r="AF70" s="43"/>
      <c r="AG70" s="43"/>
      <c r="AH70" s="43"/>
      <c r="AI70" s="55"/>
      <c r="AJ70" s="52"/>
      <c r="AK70" s="56"/>
      <c r="AL70" s="46"/>
      <c r="AM70" s="46"/>
      <c r="AN70" s="46"/>
      <c r="AO70" s="46"/>
      <c r="AP70" s="46"/>
      <c r="AQ70" s="46"/>
      <c r="AR70" s="49"/>
      <c r="AS70" s="50"/>
      <c r="AT70" s="52"/>
      <c r="AU70" s="53"/>
      <c r="AV70" s="58"/>
      <c r="AW70" s="58"/>
      <c r="AX70" s="54" t="s">
        <v>69</v>
      </c>
      <c r="AY70" s="43" t="s">
        <v>70</v>
      </c>
      <c r="AZ70" s="43" t="s">
        <v>70</v>
      </c>
      <c r="BA70" s="43" t="s">
        <v>71</v>
      </c>
      <c r="BB70" s="43" t="s">
        <v>69</v>
      </c>
      <c r="BC70" s="51">
        <v>31</v>
      </c>
      <c r="BD70" s="43" t="s">
        <v>70</v>
      </c>
      <c r="BE70" s="9">
        <f t="shared" si="3"/>
        <v>61</v>
      </c>
      <c r="BF70" s="9" t="str">
        <f t="shared" si="2"/>
        <v>..</v>
      </c>
    </row>
    <row r="71" spans="1:58" s="9" customFormat="1" ht="18" customHeight="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1" t="s">
        <v>93</v>
      </c>
      <c r="N71" s="44"/>
      <c r="O71" s="44"/>
      <c r="P71" s="44"/>
      <c r="Q71" s="45"/>
      <c r="R71" s="46"/>
      <c r="S71" s="46"/>
      <c r="T71" s="46"/>
      <c r="U71" s="44" t="s">
        <v>96</v>
      </c>
      <c r="V71" s="46"/>
      <c r="W71" s="44"/>
      <c r="X71" s="44"/>
      <c r="Y71" s="44"/>
      <c r="Z71" s="44"/>
      <c r="AA71" s="44"/>
      <c r="AB71" s="42"/>
      <c r="AC71" s="47" t="s">
        <v>97</v>
      </c>
      <c r="AD71" s="48"/>
      <c r="AE71" s="43"/>
      <c r="AF71" s="43"/>
      <c r="AG71" s="43"/>
      <c r="AH71" s="43"/>
      <c r="AI71" s="55"/>
      <c r="AJ71" s="52"/>
      <c r="AK71" s="56"/>
      <c r="AL71" s="46"/>
      <c r="AM71" s="46"/>
      <c r="AN71" s="46"/>
      <c r="AO71" s="46"/>
      <c r="AP71" s="46"/>
      <c r="AQ71" s="46"/>
      <c r="AR71" s="49"/>
      <c r="AS71" s="50"/>
      <c r="AT71" s="52"/>
      <c r="AU71" s="53"/>
      <c r="AV71" s="58"/>
      <c r="AW71" s="58"/>
      <c r="AX71" s="54" t="s">
        <v>69</v>
      </c>
      <c r="AY71" s="43" t="s">
        <v>70</v>
      </c>
      <c r="AZ71" s="43" t="s">
        <v>70</v>
      </c>
      <c r="BA71" s="43" t="s">
        <v>71</v>
      </c>
      <c r="BB71" s="43" t="s">
        <v>69</v>
      </c>
      <c r="BC71" s="51">
        <v>31</v>
      </c>
      <c r="BD71" s="43" t="s">
        <v>70</v>
      </c>
      <c r="BE71" s="9">
        <f t="shared" si="3"/>
        <v>62</v>
      </c>
      <c r="BF71" s="9" t="str">
        <f t="shared" si="2"/>
        <v>..</v>
      </c>
    </row>
    <row r="72" spans="1:58" s="9" customFormat="1" ht="18" customHeight="1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1" t="s">
        <v>93</v>
      </c>
      <c r="N72" s="44"/>
      <c r="O72" s="44"/>
      <c r="P72" s="44"/>
      <c r="Q72" s="45"/>
      <c r="R72" s="46"/>
      <c r="S72" s="46"/>
      <c r="T72" s="46"/>
      <c r="U72" s="44" t="s">
        <v>96</v>
      </c>
      <c r="V72" s="46"/>
      <c r="W72" s="44"/>
      <c r="X72" s="44"/>
      <c r="Y72" s="44"/>
      <c r="Z72" s="44"/>
      <c r="AA72" s="44"/>
      <c r="AB72" s="42"/>
      <c r="AC72" s="47" t="s">
        <v>97</v>
      </c>
      <c r="AD72" s="48"/>
      <c r="AE72" s="43"/>
      <c r="AF72" s="43"/>
      <c r="AG72" s="43"/>
      <c r="AH72" s="43"/>
      <c r="AI72" s="55"/>
      <c r="AJ72" s="52"/>
      <c r="AK72" s="56"/>
      <c r="AL72" s="46"/>
      <c r="AM72" s="46"/>
      <c r="AN72" s="46"/>
      <c r="AO72" s="46"/>
      <c r="AP72" s="46"/>
      <c r="AQ72" s="46"/>
      <c r="AR72" s="49"/>
      <c r="AS72" s="50"/>
      <c r="AT72" s="52"/>
      <c r="AU72" s="53"/>
      <c r="AV72" s="58"/>
      <c r="AW72" s="58"/>
      <c r="AX72" s="54" t="s">
        <v>69</v>
      </c>
      <c r="AY72" s="43" t="s">
        <v>70</v>
      </c>
      <c r="AZ72" s="43" t="s">
        <v>70</v>
      </c>
      <c r="BA72" s="43" t="s">
        <v>71</v>
      </c>
      <c r="BB72" s="43" t="s">
        <v>69</v>
      </c>
      <c r="BC72" s="51">
        <v>31</v>
      </c>
      <c r="BD72" s="43" t="s">
        <v>70</v>
      </c>
      <c r="BE72" s="9">
        <f t="shared" si="3"/>
        <v>63</v>
      </c>
      <c r="BF72" s="9" t="str">
        <f>CONCATENATE(AB72,".",AD72,".",AJ72)</f>
        <v>..</v>
      </c>
    </row>
    <row r="73" spans="1:58" s="9" customFormat="1" ht="18" customHeight="1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1" t="s">
        <v>93</v>
      </c>
      <c r="N73" s="44"/>
      <c r="O73" s="44"/>
      <c r="P73" s="44"/>
      <c r="Q73" s="45"/>
      <c r="R73" s="46"/>
      <c r="S73" s="46"/>
      <c r="T73" s="46"/>
      <c r="U73" s="44" t="s">
        <v>96</v>
      </c>
      <c r="V73" s="46"/>
      <c r="W73" s="44"/>
      <c r="X73" s="44"/>
      <c r="Y73" s="44"/>
      <c r="Z73" s="44"/>
      <c r="AA73" s="44"/>
      <c r="AB73" s="42"/>
      <c r="AC73" s="47" t="s">
        <v>97</v>
      </c>
      <c r="AD73" s="48"/>
      <c r="AE73" s="43"/>
      <c r="AF73" s="43"/>
      <c r="AG73" s="43"/>
      <c r="AH73" s="43"/>
      <c r="AI73" s="55"/>
      <c r="AJ73" s="52"/>
      <c r="AK73" s="56"/>
      <c r="AL73" s="46"/>
      <c r="AM73" s="46"/>
      <c r="AN73" s="46"/>
      <c r="AO73" s="46"/>
      <c r="AP73" s="46"/>
      <c r="AQ73" s="46"/>
      <c r="AR73" s="49"/>
      <c r="AS73" s="50"/>
      <c r="AT73" s="52"/>
      <c r="AU73" s="53"/>
      <c r="AV73" s="58"/>
      <c r="AW73" s="58"/>
      <c r="AX73" s="54" t="s">
        <v>69</v>
      </c>
      <c r="AY73" s="43" t="s">
        <v>70</v>
      </c>
      <c r="AZ73" s="43" t="s">
        <v>70</v>
      </c>
      <c r="BA73" s="43" t="s">
        <v>71</v>
      </c>
      <c r="BB73" s="43" t="s">
        <v>69</v>
      </c>
      <c r="BC73" s="51">
        <v>31</v>
      </c>
      <c r="BD73" s="43" t="s">
        <v>70</v>
      </c>
      <c r="BE73" s="9">
        <f t="shared" si="3"/>
        <v>64</v>
      </c>
      <c r="BF73" s="9" t="str">
        <f t="shared" si="2"/>
        <v>..</v>
      </c>
    </row>
    <row r="74" spans="1:58" s="9" customFormat="1" ht="18" customHeight="1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1" t="s">
        <v>93</v>
      </c>
      <c r="N74" s="44"/>
      <c r="O74" s="44"/>
      <c r="P74" s="44"/>
      <c r="Q74" s="45"/>
      <c r="R74" s="46"/>
      <c r="S74" s="46"/>
      <c r="T74" s="46"/>
      <c r="U74" s="44" t="s">
        <v>96</v>
      </c>
      <c r="V74" s="46"/>
      <c r="W74" s="44"/>
      <c r="X74" s="44"/>
      <c r="Y74" s="44"/>
      <c r="Z74" s="44"/>
      <c r="AA74" s="44"/>
      <c r="AB74" s="42"/>
      <c r="AC74" s="47" t="s">
        <v>97</v>
      </c>
      <c r="AD74" s="48"/>
      <c r="AE74" s="43"/>
      <c r="AF74" s="43"/>
      <c r="AG74" s="43"/>
      <c r="AH74" s="43"/>
      <c r="AI74" s="55"/>
      <c r="AJ74" s="52"/>
      <c r="AK74" s="56"/>
      <c r="AL74" s="46"/>
      <c r="AM74" s="46"/>
      <c r="AN74" s="46"/>
      <c r="AO74" s="46"/>
      <c r="AP74" s="46"/>
      <c r="AQ74" s="46"/>
      <c r="AR74" s="49"/>
      <c r="AS74" s="50"/>
      <c r="AT74" s="52"/>
      <c r="AU74" s="53"/>
      <c r="AV74" s="58"/>
      <c r="AW74" s="58"/>
      <c r="AX74" s="54" t="s">
        <v>69</v>
      </c>
      <c r="AY74" s="43" t="s">
        <v>70</v>
      </c>
      <c r="AZ74" s="43" t="s">
        <v>70</v>
      </c>
      <c r="BA74" s="43" t="s">
        <v>71</v>
      </c>
      <c r="BB74" s="43" t="s">
        <v>69</v>
      </c>
      <c r="BC74" s="51">
        <v>31</v>
      </c>
      <c r="BD74" s="43" t="s">
        <v>70</v>
      </c>
      <c r="BE74" s="9">
        <f t="shared" si="3"/>
        <v>65</v>
      </c>
      <c r="BF74" s="9" t="str">
        <f t="shared" si="2"/>
        <v>..</v>
      </c>
    </row>
    <row r="75" spans="1:58" s="9" customFormat="1" ht="18" customHeight="1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1" t="s">
        <v>93</v>
      </c>
      <c r="N75" s="44"/>
      <c r="O75" s="44"/>
      <c r="P75" s="44"/>
      <c r="Q75" s="45"/>
      <c r="R75" s="46"/>
      <c r="S75" s="46"/>
      <c r="T75" s="46"/>
      <c r="U75" s="44" t="s">
        <v>96</v>
      </c>
      <c r="V75" s="46"/>
      <c r="W75" s="44"/>
      <c r="X75" s="44"/>
      <c r="Y75" s="44"/>
      <c r="Z75" s="44"/>
      <c r="AA75" s="44"/>
      <c r="AB75" s="42"/>
      <c r="AC75" s="47" t="s">
        <v>97</v>
      </c>
      <c r="AD75" s="48"/>
      <c r="AE75" s="43"/>
      <c r="AF75" s="43"/>
      <c r="AG75" s="43"/>
      <c r="AH75" s="43"/>
      <c r="AI75" s="55"/>
      <c r="AJ75" s="52"/>
      <c r="AK75" s="56"/>
      <c r="AL75" s="46"/>
      <c r="AM75" s="46"/>
      <c r="AN75" s="46"/>
      <c r="AO75" s="46"/>
      <c r="AP75" s="46"/>
      <c r="AQ75" s="46"/>
      <c r="AR75" s="49"/>
      <c r="AS75" s="50"/>
      <c r="AT75" s="52"/>
      <c r="AU75" s="53"/>
      <c r="AV75" s="58"/>
      <c r="AW75" s="58"/>
      <c r="AX75" s="54" t="s">
        <v>69</v>
      </c>
      <c r="AY75" s="43" t="s">
        <v>70</v>
      </c>
      <c r="AZ75" s="43" t="s">
        <v>70</v>
      </c>
      <c r="BA75" s="43" t="s">
        <v>71</v>
      </c>
      <c r="BB75" s="43" t="s">
        <v>69</v>
      </c>
      <c r="BC75" s="51">
        <v>31</v>
      </c>
      <c r="BD75" s="43" t="s">
        <v>70</v>
      </c>
      <c r="BE75" s="9">
        <f t="shared" si="3"/>
        <v>66</v>
      </c>
      <c r="BF75" s="9" t="str">
        <f t="shared" ref="BF75:BF104" si="4">CONCATENATE(AB75,".",AD75,".",AJ75)</f>
        <v>..</v>
      </c>
    </row>
    <row r="76" spans="1:58" s="9" customFormat="1" ht="18" customHeight="1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1" t="s">
        <v>93</v>
      </c>
      <c r="N76" s="44"/>
      <c r="O76" s="44"/>
      <c r="P76" s="44"/>
      <c r="Q76" s="45"/>
      <c r="R76" s="46"/>
      <c r="S76" s="46"/>
      <c r="T76" s="46"/>
      <c r="U76" s="44" t="s">
        <v>96</v>
      </c>
      <c r="V76" s="46"/>
      <c r="W76" s="44"/>
      <c r="X76" s="44"/>
      <c r="Y76" s="44"/>
      <c r="Z76" s="44"/>
      <c r="AA76" s="44"/>
      <c r="AB76" s="42"/>
      <c r="AC76" s="47" t="s">
        <v>97</v>
      </c>
      <c r="AD76" s="48"/>
      <c r="AE76" s="43"/>
      <c r="AF76" s="43"/>
      <c r="AG76" s="43"/>
      <c r="AH76" s="43"/>
      <c r="AI76" s="55"/>
      <c r="AJ76" s="52"/>
      <c r="AK76" s="56"/>
      <c r="AL76" s="46"/>
      <c r="AM76" s="46"/>
      <c r="AN76" s="46"/>
      <c r="AO76" s="46"/>
      <c r="AP76" s="46"/>
      <c r="AQ76" s="46"/>
      <c r="AR76" s="49"/>
      <c r="AS76" s="50"/>
      <c r="AT76" s="52"/>
      <c r="AU76" s="53"/>
      <c r="AV76" s="58"/>
      <c r="AW76" s="58"/>
      <c r="AX76" s="54" t="s">
        <v>69</v>
      </c>
      <c r="AY76" s="43" t="s">
        <v>70</v>
      </c>
      <c r="AZ76" s="43" t="s">
        <v>70</v>
      </c>
      <c r="BA76" s="43" t="s">
        <v>71</v>
      </c>
      <c r="BB76" s="43" t="s">
        <v>69</v>
      </c>
      <c r="BC76" s="51">
        <v>31</v>
      </c>
      <c r="BD76" s="43" t="s">
        <v>70</v>
      </c>
      <c r="BE76" s="9">
        <f t="shared" si="3"/>
        <v>67</v>
      </c>
      <c r="BF76" s="9" t="str">
        <f t="shared" si="4"/>
        <v>..</v>
      </c>
    </row>
    <row r="77" spans="1:58" s="9" customFormat="1" ht="18" customHeight="1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1" t="s">
        <v>93</v>
      </c>
      <c r="N77" s="44"/>
      <c r="O77" s="44"/>
      <c r="P77" s="44"/>
      <c r="Q77" s="45"/>
      <c r="R77" s="46"/>
      <c r="S77" s="46"/>
      <c r="T77" s="46"/>
      <c r="U77" s="44" t="s">
        <v>96</v>
      </c>
      <c r="V77" s="46"/>
      <c r="W77" s="44"/>
      <c r="X77" s="44"/>
      <c r="Y77" s="44"/>
      <c r="Z77" s="44"/>
      <c r="AA77" s="44"/>
      <c r="AB77" s="42"/>
      <c r="AC77" s="47" t="s">
        <v>97</v>
      </c>
      <c r="AD77" s="48"/>
      <c r="AE77" s="43"/>
      <c r="AF77" s="43"/>
      <c r="AG77" s="43"/>
      <c r="AH77" s="43"/>
      <c r="AI77" s="55"/>
      <c r="AJ77" s="52"/>
      <c r="AK77" s="56"/>
      <c r="AL77" s="46"/>
      <c r="AM77" s="46"/>
      <c r="AN77" s="46"/>
      <c r="AO77" s="46"/>
      <c r="AP77" s="46"/>
      <c r="AQ77" s="46"/>
      <c r="AR77" s="49"/>
      <c r="AS77" s="50"/>
      <c r="AT77" s="52"/>
      <c r="AU77" s="53"/>
      <c r="AV77" s="58"/>
      <c r="AW77" s="58"/>
      <c r="AX77" s="54" t="s">
        <v>69</v>
      </c>
      <c r="AY77" s="43" t="s">
        <v>70</v>
      </c>
      <c r="AZ77" s="43" t="s">
        <v>70</v>
      </c>
      <c r="BA77" s="43" t="s">
        <v>71</v>
      </c>
      <c r="BB77" s="43" t="s">
        <v>69</v>
      </c>
      <c r="BC77" s="51">
        <v>31</v>
      </c>
      <c r="BD77" s="43" t="s">
        <v>70</v>
      </c>
      <c r="BE77" s="9">
        <f t="shared" si="3"/>
        <v>68</v>
      </c>
      <c r="BF77" s="9" t="str">
        <f t="shared" si="4"/>
        <v>..</v>
      </c>
    </row>
    <row r="78" spans="1:58" s="9" customFormat="1" ht="18" customHeight="1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1" t="s">
        <v>93</v>
      </c>
      <c r="N78" s="44"/>
      <c r="O78" s="44"/>
      <c r="P78" s="44"/>
      <c r="Q78" s="45"/>
      <c r="R78" s="46"/>
      <c r="S78" s="46"/>
      <c r="T78" s="46"/>
      <c r="U78" s="44" t="s">
        <v>96</v>
      </c>
      <c r="V78" s="46"/>
      <c r="W78" s="44"/>
      <c r="X78" s="44"/>
      <c r="Y78" s="44"/>
      <c r="Z78" s="44"/>
      <c r="AA78" s="44"/>
      <c r="AB78" s="42"/>
      <c r="AC78" s="47" t="s">
        <v>97</v>
      </c>
      <c r="AD78" s="48"/>
      <c r="AE78" s="43"/>
      <c r="AF78" s="43"/>
      <c r="AG78" s="43"/>
      <c r="AH78" s="43"/>
      <c r="AI78" s="55"/>
      <c r="AJ78" s="52"/>
      <c r="AK78" s="56"/>
      <c r="AL78" s="46"/>
      <c r="AM78" s="46"/>
      <c r="AN78" s="46"/>
      <c r="AO78" s="46"/>
      <c r="AP78" s="46"/>
      <c r="AQ78" s="46"/>
      <c r="AR78" s="49"/>
      <c r="AS78" s="50"/>
      <c r="AT78" s="52"/>
      <c r="AU78" s="53"/>
      <c r="AV78" s="58"/>
      <c r="AW78" s="58"/>
      <c r="AX78" s="54" t="s">
        <v>69</v>
      </c>
      <c r="AY78" s="43" t="s">
        <v>70</v>
      </c>
      <c r="AZ78" s="43" t="s">
        <v>70</v>
      </c>
      <c r="BA78" s="43" t="s">
        <v>71</v>
      </c>
      <c r="BB78" s="43" t="s">
        <v>69</v>
      </c>
      <c r="BC78" s="51">
        <v>31</v>
      </c>
      <c r="BD78" s="43" t="s">
        <v>70</v>
      </c>
      <c r="BE78" s="9">
        <f t="shared" si="3"/>
        <v>69</v>
      </c>
      <c r="BF78" s="9" t="str">
        <f t="shared" si="4"/>
        <v>..</v>
      </c>
    </row>
    <row r="79" spans="1:58" s="9" customFormat="1" ht="18" customHeight="1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1" t="s">
        <v>93</v>
      </c>
      <c r="N79" s="44"/>
      <c r="O79" s="44"/>
      <c r="P79" s="44"/>
      <c r="Q79" s="45"/>
      <c r="R79" s="46"/>
      <c r="S79" s="46"/>
      <c r="T79" s="46"/>
      <c r="U79" s="44" t="s">
        <v>96</v>
      </c>
      <c r="V79" s="46"/>
      <c r="W79" s="44"/>
      <c r="X79" s="44"/>
      <c r="Y79" s="44"/>
      <c r="Z79" s="44"/>
      <c r="AA79" s="44"/>
      <c r="AB79" s="42"/>
      <c r="AC79" s="47" t="s">
        <v>97</v>
      </c>
      <c r="AD79" s="48"/>
      <c r="AE79" s="43"/>
      <c r="AF79" s="43"/>
      <c r="AG79" s="43"/>
      <c r="AH79" s="43"/>
      <c r="AI79" s="55"/>
      <c r="AJ79" s="52"/>
      <c r="AK79" s="56"/>
      <c r="AL79" s="46"/>
      <c r="AM79" s="46"/>
      <c r="AN79" s="46"/>
      <c r="AO79" s="46"/>
      <c r="AP79" s="46"/>
      <c r="AQ79" s="46"/>
      <c r="AR79" s="49"/>
      <c r="AS79" s="50"/>
      <c r="AT79" s="52"/>
      <c r="AU79" s="53"/>
      <c r="AV79" s="58"/>
      <c r="AW79" s="58"/>
      <c r="AX79" s="54" t="s">
        <v>69</v>
      </c>
      <c r="AY79" s="43" t="s">
        <v>70</v>
      </c>
      <c r="AZ79" s="43" t="s">
        <v>70</v>
      </c>
      <c r="BA79" s="43" t="s">
        <v>71</v>
      </c>
      <c r="BB79" s="43" t="s">
        <v>69</v>
      </c>
      <c r="BC79" s="51">
        <v>31</v>
      </c>
      <c r="BD79" s="43" t="s">
        <v>70</v>
      </c>
      <c r="BE79" s="9">
        <f t="shared" si="3"/>
        <v>70</v>
      </c>
      <c r="BF79" s="9" t="str">
        <f t="shared" si="4"/>
        <v>..</v>
      </c>
    </row>
    <row r="80" spans="1:58" s="9" customFormat="1" ht="18" customHeight="1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1" t="s">
        <v>93</v>
      </c>
      <c r="N80" s="44"/>
      <c r="O80" s="44"/>
      <c r="P80" s="44"/>
      <c r="Q80" s="45"/>
      <c r="R80" s="46"/>
      <c r="S80" s="46"/>
      <c r="T80" s="46"/>
      <c r="U80" s="44" t="s">
        <v>96</v>
      </c>
      <c r="V80" s="46"/>
      <c r="W80" s="44"/>
      <c r="X80" s="44"/>
      <c r="Y80" s="44"/>
      <c r="Z80" s="44"/>
      <c r="AA80" s="44"/>
      <c r="AB80" s="42"/>
      <c r="AC80" s="47" t="s">
        <v>97</v>
      </c>
      <c r="AD80" s="48"/>
      <c r="AE80" s="43"/>
      <c r="AF80" s="43"/>
      <c r="AG80" s="43"/>
      <c r="AH80" s="43"/>
      <c r="AI80" s="55"/>
      <c r="AJ80" s="52"/>
      <c r="AK80" s="56"/>
      <c r="AL80" s="46"/>
      <c r="AM80" s="46"/>
      <c r="AN80" s="46"/>
      <c r="AO80" s="46"/>
      <c r="AP80" s="46"/>
      <c r="AQ80" s="46"/>
      <c r="AR80" s="49"/>
      <c r="AS80" s="50"/>
      <c r="AT80" s="52"/>
      <c r="AU80" s="53"/>
      <c r="AV80" s="58"/>
      <c r="AW80" s="58"/>
      <c r="AX80" s="54" t="s">
        <v>69</v>
      </c>
      <c r="AY80" s="43" t="s">
        <v>70</v>
      </c>
      <c r="AZ80" s="43" t="s">
        <v>70</v>
      </c>
      <c r="BA80" s="43" t="s">
        <v>71</v>
      </c>
      <c r="BB80" s="43" t="s">
        <v>69</v>
      </c>
      <c r="BC80" s="51">
        <v>31</v>
      </c>
      <c r="BD80" s="43" t="s">
        <v>70</v>
      </c>
      <c r="BE80" s="9">
        <f t="shared" si="3"/>
        <v>71</v>
      </c>
      <c r="BF80" s="9" t="str">
        <f t="shared" si="4"/>
        <v>..</v>
      </c>
    </row>
    <row r="81" spans="1:58" s="9" customFormat="1" ht="18" customHeight="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1" t="s">
        <v>93</v>
      </c>
      <c r="N81" s="44"/>
      <c r="O81" s="44"/>
      <c r="P81" s="44"/>
      <c r="Q81" s="45"/>
      <c r="R81" s="46"/>
      <c r="S81" s="46"/>
      <c r="T81" s="46"/>
      <c r="U81" s="44" t="s">
        <v>96</v>
      </c>
      <c r="V81" s="46"/>
      <c r="W81" s="44"/>
      <c r="X81" s="44"/>
      <c r="Y81" s="44"/>
      <c r="Z81" s="44"/>
      <c r="AA81" s="44"/>
      <c r="AB81" s="42"/>
      <c r="AC81" s="47" t="s">
        <v>97</v>
      </c>
      <c r="AD81" s="48"/>
      <c r="AE81" s="43"/>
      <c r="AF81" s="43"/>
      <c r="AG81" s="43"/>
      <c r="AH81" s="43"/>
      <c r="AI81" s="55"/>
      <c r="AJ81" s="52"/>
      <c r="AK81" s="56"/>
      <c r="AL81" s="46"/>
      <c r="AM81" s="46"/>
      <c r="AN81" s="46"/>
      <c r="AO81" s="46"/>
      <c r="AP81" s="46"/>
      <c r="AQ81" s="46"/>
      <c r="AR81" s="49"/>
      <c r="AS81" s="50"/>
      <c r="AT81" s="52"/>
      <c r="AU81" s="53"/>
      <c r="AV81" s="58"/>
      <c r="AW81" s="58"/>
      <c r="AX81" s="54" t="s">
        <v>69</v>
      </c>
      <c r="AY81" s="43" t="s">
        <v>70</v>
      </c>
      <c r="AZ81" s="43" t="s">
        <v>70</v>
      </c>
      <c r="BA81" s="43" t="s">
        <v>71</v>
      </c>
      <c r="BB81" s="43" t="s">
        <v>69</v>
      </c>
      <c r="BC81" s="51">
        <v>31</v>
      </c>
      <c r="BD81" s="43" t="s">
        <v>70</v>
      </c>
      <c r="BE81" s="9">
        <f t="shared" ref="BE81:BE144" si="5">ROW()-ROW($BE$9)</f>
        <v>72</v>
      </c>
      <c r="BF81" s="9" t="str">
        <f t="shared" si="4"/>
        <v>..</v>
      </c>
    </row>
    <row r="82" spans="1:58" s="9" customFormat="1" ht="18" customHeight="1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1" t="s">
        <v>93</v>
      </c>
      <c r="N82" s="44"/>
      <c r="O82" s="44"/>
      <c r="P82" s="44"/>
      <c r="Q82" s="45"/>
      <c r="R82" s="46"/>
      <c r="S82" s="46"/>
      <c r="T82" s="46"/>
      <c r="U82" s="44" t="s">
        <v>96</v>
      </c>
      <c r="V82" s="46"/>
      <c r="W82" s="44"/>
      <c r="X82" s="44"/>
      <c r="Y82" s="44"/>
      <c r="Z82" s="44"/>
      <c r="AA82" s="44"/>
      <c r="AB82" s="42"/>
      <c r="AC82" s="47" t="s">
        <v>97</v>
      </c>
      <c r="AD82" s="48"/>
      <c r="AE82" s="43"/>
      <c r="AF82" s="43"/>
      <c r="AG82" s="43"/>
      <c r="AH82" s="43"/>
      <c r="AI82" s="55"/>
      <c r="AJ82" s="52"/>
      <c r="AK82" s="56"/>
      <c r="AL82" s="46"/>
      <c r="AM82" s="46"/>
      <c r="AN82" s="46"/>
      <c r="AO82" s="46"/>
      <c r="AP82" s="46"/>
      <c r="AQ82" s="46"/>
      <c r="AR82" s="49"/>
      <c r="AS82" s="50"/>
      <c r="AT82" s="52"/>
      <c r="AU82" s="53"/>
      <c r="AV82" s="58"/>
      <c r="AW82" s="58"/>
      <c r="AX82" s="54" t="s">
        <v>69</v>
      </c>
      <c r="AY82" s="43" t="s">
        <v>70</v>
      </c>
      <c r="AZ82" s="43" t="s">
        <v>70</v>
      </c>
      <c r="BA82" s="43" t="s">
        <v>71</v>
      </c>
      <c r="BB82" s="43" t="s">
        <v>69</v>
      </c>
      <c r="BC82" s="51">
        <v>31</v>
      </c>
      <c r="BD82" s="43" t="s">
        <v>70</v>
      </c>
      <c r="BE82" s="9">
        <f t="shared" si="5"/>
        <v>73</v>
      </c>
      <c r="BF82" s="9" t="str">
        <f t="shared" si="4"/>
        <v>..</v>
      </c>
    </row>
    <row r="83" spans="1:58" s="9" customFormat="1" ht="18" customHeight="1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1" t="s">
        <v>93</v>
      </c>
      <c r="N83" s="44"/>
      <c r="O83" s="44"/>
      <c r="P83" s="44"/>
      <c r="Q83" s="45"/>
      <c r="R83" s="46"/>
      <c r="S83" s="46"/>
      <c r="T83" s="46"/>
      <c r="U83" s="44" t="s">
        <v>96</v>
      </c>
      <c r="V83" s="46"/>
      <c r="W83" s="44"/>
      <c r="X83" s="44"/>
      <c r="Y83" s="44"/>
      <c r="Z83" s="44"/>
      <c r="AA83" s="44"/>
      <c r="AB83" s="42"/>
      <c r="AC83" s="47" t="s">
        <v>97</v>
      </c>
      <c r="AD83" s="48"/>
      <c r="AE83" s="43"/>
      <c r="AF83" s="43"/>
      <c r="AG83" s="43"/>
      <c r="AH83" s="43"/>
      <c r="AI83" s="55"/>
      <c r="AJ83" s="52"/>
      <c r="AK83" s="56"/>
      <c r="AL83" s="46"/>
      <c r="AM83" s="46"/>
      <c r="AN83" s="46"/>
      <c r="AO83" s="46"/>
      <c r="AP83" s="46"/>
      <c r="AQ83" s="46"/>
      <c r="AR83" s="49"/>
      <c r="AS83" s="50"/>
      <c r="AT83" s="52"/>
      <c r="AU83" s="53"/>
      <c r="AV83" s="58"/>
      <c r="AW83" s="58"/>
      <c r="AX83" s="54" t="s">
        <v>69</v>
      </c>
      <c r="AY83" s="43" t="s">
        <v>70</v>
      </c>
      <c r="AZ83" s="43" t="s">
        <v>70</v>
      </c>
      <c r="BA83" s="43" t="s">
        <v>71</v>
      </c>
      <c r="BB83" s="43" t="s">
        <v>69</v>
      </c>
      <c r="BC83" s="51">
        <v>31</v>
      </c>
      <c r="BD83" s="43" t="s">
        <v>70</v>
      </c>
      <c r="BE83" s="9">
        <f t="shared" si="5"/>
        <v>74</v>
      </c>
      <c r="BF83" s="9" t="str">
        <f t="shared" si="4"/>
        <v>..</v>
      </c>
    </row>
    <row r="84" spans="1:58" s="9" customFormat="1" ht="18" customHeight="1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1" t="s">
        <v>93</v>
      </c>
      <c r="N84" s="44"/>
      <c r="O84" s="44"/>
      <c r="P84" s="44"/>
      <c r="Q84" s="45"/>
      <c r="R84" s="46"/>
      <c r="S84" s="46"/>
      <c r="T84" s="46"/>
      <c r="U84" s="44" t="s">
        <v>96</v>
      </c>
      <c r="V84" s="46"/>
      <c r="W84" s="44"/>
      <c r="X84" s="44"/>
      <c r="Y84" s="44"/>
      <c r="Z84" s="44"/>
      <c r="AA84" s="44"/>
      <c r="AB84" s="42"/>
      <c r="AC84" s="47" t="s">
        <v>97</v>
      </c>
      <c r="AD84" s="48"/>
      <c r="AE84" s="43"/>
      <c r="AF84" s="43"/>
      <c r="AG84" s="43"/>
      <c r="AH84" s="43"/>
      <c r="AI84" s="55"/>
      <c r="AJ84" s="52"/>
      <c r="AK84" s="56"/>
      <c r="AL84" s="46"/>
      <c r="AM84" s="46"/>
      <c r="AN84" s="46"/>
      <c r="AO84" s="46"/>
      <c r="AP84" s="46"/>
      <c r="AQ84" s="46"/>
      <c r="AR84" s="49"/>
      <c r="AS84" s="50"/>
      <c r="AT84" s="52"/>
      <c r="AU84" s="53"/>
      <c r="AV84" s="58"/>
      <c r="AW84" s="58"/>
      <c r="AX84" s="54" t="s">
        <v>69</v>
      </c>
      <c r="AY84" s="43" t="s">
        <v>70</v>
      </c>
      <c r="AZ84" s="43" t="s">
        <v>70</v>
      </c>
      <c r="BA84" s="43" t="s">
        <v>71</v>
      </c>
      <c r="BB84" s="43" t="s">
        <v>69</v>
      </c>
      <c r="BC84" s="51">
        <v>31</v>
      </c>
      <c r="BD84" s="43" t="s">
        <v>70</v>
      </c>
      <c r="BE84" s="9">
        <f t="shared" si="5"/>
        <v>75</v>
      </c>
      <c r="BF84" s="9" t="str">
        <f t="shared" si="4"/>
        <v>..</v>
      </c>
    </row>
    <row r="85" spans="1:58" ht="18" customHeight="1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1" t="s">
        <v>93</v>
      </c>
      <c r="N85" s="44"/>
      <c r="O85" s="44"/>
      <c r="P85" s="44"/>
      <c r="Q85" s="45"/>
      <c r="R85" s="46"/>
      <c r="S85" s="46"/>
      <c r="T85" s="46"/>
      <c r="U85" s="44" t="s">
        <v>96</v>
      </c>
      <c r="V85" s="46"/>
      <c r="W85" s="44"/>
      <c r="X85" s="44"/>
      <c r="Y85" s="44"/>
      <c r="Z85" s="44"/>
      <c r="AA85" s="44"/>
      <c r="AB85" s="42"/>
      <c r="AC85" s="47" t="s">
        <v>97</v>
      </c>
      <c r="AD85" s="48"/>
      <c r="AE85" s="43"/>
      <c r="AF85" s="43"/>
      <c r="AG85" s="43"/>
      <c r="AH85" s="43"/>
      <c r="AI85" s="55"/>
      <c r="AJ85" s="52"/>
      <c r="AK85" s="56"/>
      <c r="AL85" s="46"/>
      <c r="AM85" s="46"/>
      <c r="AN85" s="46"/>
      <c r="AO85" s="46"/>
      <c r="AP85" s="46"/>
      <c r="AQ85" s="46"/>
      <c r="AR85" s="49"/>
      <c r="AS85" s="50"/>
      <c r="AT85" s="52"/>
      <c r="AU85" s="53"/>
      <c r="AV85" s="58"/>
      <c r="AW85" s="58"/>
      <c r="AX85" s="54" t="s">
        <v>69</v>
      </c>
      <c r="AY85" s="43" t="s">
        <v>70</v>
      </c>
      <c r="AZ85" s="43" t="s">
        <v>70</v>
      </c>
      <c r="BA85" s="43" t="s">
        <v>71</v>
      </c>
      <c r="BB85" s="43" t="s">
        <v>69</v>
      </c>
      <c r="BC85" s="51">
        <v>31</v>
      </c>
      <c r="BD85" s="43" t="s">
        <v>70</v>
      </c>
      <c r="BE85" s="9">
        <f t="shared" si="5"/>
        <v>76</v>
      </c>
      <c r="BF85" s="9" t="str">
        <f t="shared" si="4"/>
        <v>..</v>
      </c>
    </row>
    <row r="86" spans="1:58" ht="18" customHeight="1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1" t="s">
        <v>93</v>
      </c>
      <c r="N86" s="44"/>
      <c r="O86" s="44"/>
      <c r="P86" s="44"/>
      <c r="Q86" s="45"/>
      <c r="R86" s="46"/>
      <c r="S86" s="46"/>
      <c r="T86" s="46"/>
      <c r="U86" s="44" t="s">
        <v>96</v>
      </c>
      <c r="V86" s="46"/>
      <c r="W86" s="44"/>
      <c r="X86" s="44"/>
      <c r="Y86" s="44"/>
      <c r="Z86" s="44"/>
      <c r="AA86" s="44"/>
      <c r="AB86" s="42"/>
      <c r="AC86" s="47" t="s">
        <v>97</v>
      </c>
      <c r="AD86" s="48"/>
      <c r="AE86" s="43"/>
      <c r="AF86" s="43"/>
      <c r="AG86" s="43"/>
      <c r="AH86" s="43"/>
      <c r="AI86" s="55"/>
      <c r="AJ86" s="52"/>
      <c r="AK86" s="56"/>
      <c r="AL86" s="46"/>
      <c r="AM86" s="46"/>
      <c r="AN86" s="46"/>
      <c r="AO86" s="46"/>
      <c r="AP86" s="46"/>
      <c r="AQ86" s="46"/>
      <c r="AR86" s="49"/>
      <c r="AS86" s="50"/>
      <c r="AT86" s="52"/>
      <c r="AU86" s="53"/>
      <c r="AV86" s="58"/>
      <c r="AW86" s="58"/>
      <c r="AX86" s="54" t="s">
        <v>69</v>
      </c>
      <c r="AY86" s="43" t="s">
        <v>70</v>
      </c>
      <c r="AZ86" s="43" t="s">
        <v>70</v>
      </c>
      <c r="BA86" s="43" t="s">
        <v>71</v>
      </c>
      <c r="BB86" s="43" t="s">
        <v>69</v>
      </c>
      <c r="BC86" s="51">
        <v>31</v>
      </c>
      <c r="BD86" s="43" t="s">
        <v>70</v>
      </c>
      <c r="BE86" s="9">
        <f t="shared" si="5"/>
        <v>77</v>
      </c>
      <c r="BF86" s="9" t="str">
        <f t="shared" si="4"/>
        <v>..</v>
      </c>
    </row>
    <row r="87" spans="1:58" ht="18" customHeight="1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1" t="s">
        <v>93</v>
      </c>
      <c r="N87" s="44"/>
      <c r="O87" s="44"/>
      <c r="P87" s="44"/>
      <c r="Q87" s="45"/>
      <c r="R87" s="46"/>
      <c r="S87" s="46"/>
      <c r="T87" s="46"/>
      <c r="U87" s="44" t="s">
        <v>96</v>
      </c>
      <c r="V87" s="46"/>
      <c r="W87" s="44"/>
      <c r="X87" s="44"/>
      <c r="Y87" s="44"/>
      <c r="Z87" s="44"/>
      <c r="AA87" s="44"/>
      <c r="AB87" s="42"/>
      <c r="AC87" s="47" t="s">
        <v>97</v>
      </c>
      <c r="AD87" s="48"/>
      <c r="AE87" s="43"/>
      <c r="AF87" s="43"/>
      <c r="AG87" s="43"/>
      <c r="AH87" s="43"/>
      <c r="AI87" s="55"/>
      <c r="AJ87" s="52"/>
      <c r="AK87" s="56"/>
      <c r="AL87" s="46"/>
      <c r="AM87" s="46"/>
      <c r="AN87" s="46"/>
      <c r="AO87" s="46"/>
      <c r="AP87" s="46"/>
      <c r="AQ87" s="46"/>
      <c r="AR87" s="49"/>
      <c r="AS87" s="50"/>
      <c r="AT87" s="52"/>
      <c r="AU87" s="53"/>
      <c r="AV87" s="58"/>
      <c r="AW87" s="58"/>
      <c r="AX87" s="54" t="s">
        <v>69</v>
      </c>
      <c r="AY87" s="43" t="s">
        <v>70</v>
      </c>
      <c r="AZ87" s="43" t="s">
        <v>70</v>
      </c>
      <c r="BA87" s="43" t="s">
        <v>71</v>
      </c>
      <c r="BB87" s="43" t="s">
        <v>69</v>
      </c>
      <c r="BC87" s="51">
        <v>31</v>
      </c>
      <c r="BD87" s="43" t="s">
        <v>70</v>
      </c>
      <c r="BE87" s="9">
        <f t="shared" si="5"/>
        <v>78</v>
      </c>
      <c r="BF87" s="9" t="str">
        <f t="shared" si="4"/>
        <v>..</v>
      </c>
    </row>
    <row r="88" spans="1:58" ht="18" customHeight="1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1" t="s">
        <v>93</v>
      </c>
      <c r="N88" s="44"/>
      <c r="O88" s="44"/>
      <c r="P88" s="44"/>
      <c r="Q88" s="45"/>
      <c r="R88" s="46"/>
      <c r="S88" s="46"/>
      <c r="T88" s="46"/>
      <c r="U88" s="44" t="s">
        <v>96</v>
      </c>
      <c r="V88" s="46"/>
      <c r="W88" s="44"/>
      <c r="X88" s="44"/>
      <c r="Y88" s="44"/>
      <c r="Z88" s="44"/>
      <c r="AA88" s="44"/>
      <c r="AB88" s="42"/>
      <c r="AC88" s="47" t="s">
        <v>97</v>
      </c>
      <c r="AD88" s="48"/>
      <c r="AE88" s="43"/>
      <c r="AF88" s="43"/>
      <c r="AG88" s="43"/>
      <c r="AH88" s="43"/>
      <c r="AI88" s="55"/>
      <c r="AJ88" s="52"/>
      <c r="AK88" s="56"/>
      <c r="AL88" s="46"/>
      <c r="AM88" s="46"/>
      <c r="AN88" s="46"/>
      <c r="AO88" s="46"/>
      <c r="AP88" s="46"/>
      <c r="AQ88" s="46"/>
      <c r="AR88" s="49"/>
      <c r="AS88" s="50"/>
      <c r="AT88" s="52"/>
      <c r="AU88" s="53"/>
      <c r="AV88" s="58"/>
      <c r="AW88" s="58"/>
      <c r="AX88" s="54" t="s">
        <v>69</v>
      </c>
      <c r="AY88" s="43" t="s">
        <v>70</v>
      </c>
      <c r="AZ88" s="43" t="s">
        <v>70</v>
      </c>
      <c r="BA88" s="43" t="s">
        <v>71</v>
      </c>
      <c r="BB88" s="43" t="s">
        <v>69</v>
      </c>
      <c r="BC88" s="51">
        <v>31</v>
      </c>
      <c r="BD88" s="43" t="s">
        <v>70</v>
      </c>
      <c r="BE88" s="9">
        <f t="shared" si="5"/>
        <v>79</v>
      </c>
      <c r="BF88" s="9" t="str">
        <f t="shared" si="4"/>
        <v>..</v>
      </c>
    </row>
    <row r="89" spans="1:58" ht="18" customHeight="1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1" t="s">
        <v>93</v>
      </c>
      <c r="N89" s="44"/>
      <c r="O89" s="44"/>
      <c r="P89" s="44"/>
      <c r="Q89" s="45"/>
      <c r="R89" s="46"/>
      <c r="S89" s="46"/>
      <c r="T89" s="46"/>
      <c r="U89" s="44" t="s">
        <v>96</v>
      </c>
      <c r="V89" s="46"/>
      <c r="W89" s="44"/>
      <c r="X89" s="44"/>
      <c r="Y89" s="44"/>
      <c r="Z89" s="44"/>
      <c r="AA89" s="44"/>
      <c r="AB89" s="42"/>
      <c r="AC89" s="47" t="s">
        <v>97</v>
      </c>
      <c r="AD89" s="48"/>
      <c r="AE89" s="43"/>
      <c r="AF89" s="43"/>
      <c r="AG89" s="43"/>
      <c r="AH89" s="43"/>
      <c r="AI89" s="55"/>
      <c r="AJ89" s="52"/>
      <c r="AK89" s="56"/>
      <c r="AL89" s="46"/>
      <c r="AM89" s="46"/>
      <c r="AN89" s="46"/>
      <c r="AO89" s="46"/>
      <c r="AP89" s="46"/>
      <c r="AQ89" s="46"/>
      <c r="AR89" s="49"/>
      <c r="AS89" s="50"/>
      <c r="AT89" s="52"/>
      <c r="AU89" s="53"/>
      <c r="AV89" s="58"/>
      <c r="AW89" s="58"/>
      <c r="AX89" s="54" t="s">
        <v>69</v>
      </c>
      <c r="AY89" s="43" t="s">
        <v>70</v>
      </c>
      <c r="AZ89" s="43" t="s">
        <v>70</v>
      </c>
      <c r="BA89" s="43" t="s">
        <v>71</v>
      </c>
      <c r="BB89" s="43" t="s">
        <v>69</v>
      </c>
      <c r="BC89" s="51">
        <v>31</v>
      </c>
      <c r="BD89" s="43" t="s">
        <v>70</v>
      </c>
      <c r="BE89" s="9">
        <f t="shared" si="5"/>
        <v>80</v>
      </c>
      <c r="BF89" s="9" t="str">
        <f t="shared" si="4"/>
        <v>..</v>
      </c>
    </row>
    <row r="90" spans="1:58" ht="18" customHeight="1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1" t="s">
        <v>93</v>
      </c>
      <c r="N90" s="44"/>
      <c r="O90" s="44"/>
      <c r="P90" s="44"/>
      <c r="Q90" s="45"/>
      <c r="R90" s="46"/>
      <c r="S90" s="46"/>
      <c r="T90" s="46"/>
      <c r="U90" s="44" t="s">
        <v>96</v>
      </c>
      <c r="V90" s="46"/>
      <c r="W90" s="44"/>
      <c r="X90" s="44"/>
      <c r="Y90" s="44"/>
      <c r="Z90" s="44"/>
      <c r="AA90" s="44"/>
      <c r="AB90" s="42"/>
      <c r="AC90" s="47" t="s">
        <v>97</v>
      </c>
      <c r="AD90" s="48"/>
      <c r="AE90" s="43"/>
      <c r="AF90" s="43"/>
      <c r="AG90" s="43"/>
      <c r="AH90" s="43"/>
      <c r="AI90" s="55"/>
      <c r="AJ90" s="52"/>
      <c r="AK90" s="56"/>
      <c r="AL90" s="46"/>
      <c r="AM90" s="46"/>
      <c r="AN90" s="46"/>
      <c r="AO90" s="46"/>
      <c r="AP90" s="46"/>
      <c r="AQ90" s="46"/>
      <c r="AR90" s="49"/>
      <c r="AS90" s="50"/>
      <c r="AT90" s="52"/>
      <c r="AU90" s="53"/>
      <c r="AV90" s="58"/>
      <c r="AW90" s="58"/>
      <c r="AX90" s="54" t="s">
        <v>69</v>
      </c>
      <c r="AY90" s="43" t="s">
        <v>70</v>
      </c>
      <c r="AZ90" s="43" t="s">
        <v>70</v>
      </c>
      <c r="BA90" s="43" t="s">
        <v>71</v>
      </c>
      <c r="BB90" s="43" t="s">
        <v>69</v>
      </c>
      <c r="BC90" s="51">
        <v>31</v>
      </c>
      <c r="BD90" s="43" t="s">
        <v>70</v>
      </c>
      <c r="BE90" s="9">
        <f t="shared" si="5"/>
        <v>81</v>
      </c>
      <c r="BF90" s="9" t="str">
        <f t="shared" si="4"/>
        <v>..</v>
      </c>
    </row>
    <row r="91" spans="1:58" ht="18" customHeight="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1" t="s">
        <v>93</v>
      </c>
      <c r="N91" s="44"/>
      <c r="O91" s="44"/>
      <c r="P91" s="44"/>
      <c r="Q91" s="45"/>
      <c r="R91" s="46"/>
      <c r="S91" s="46"/>
      <c r="T91" s="46"/>
      <c r="U91" s="44" t="s">
        <v>96</v>
      </c>
      <c r="V91" s="46"/>
      <c r="W91" s="44"/>
      <c r="X91" s="44"/>
      <c r="Y91" s="44"/>
      <c r="Z91" s="44"/>
      <c r="AA91" s="44"/>
      <c r="AB91" s="42"/>
      <c r="AC91" s="47" t="s">
        <v>97</v>
      </c>
      <c r="AD91" s="48"/>
      <c r="AE91" s="43"/>
      <c r="AF91" s="43"/>
      <c r="AG91" s="43"/>
      <c r="AH91" s="43"/>
      <c r="AI91" s="55"/>
      <c r="AJ91" s="52"/>
      <c r="AK91" s="56"/>
      <c r="AL91" s="46"/>
      <c r="AM91" s="46"/>
      <c r="AN91" s="46"/>
      <c r="AO91" s="46"/>
      <c r="AP91" s="46"/>
      <c r="AQ91" s="46"/>
      <c r="AR91" s="49"/>
      <c r="AS91" s="50"/>
      <c r="AT91" s="52"/>
      <c r="AU91" s="53"/>
      <c r="AV91" s="58"/>
      <c r="AW91" s="58"/>
      <c r="AX91" s="54" t="s">
        <v>69</v>
      </c>
      <c r="AY91" s="43" t="s">
        <v>70</v>
      </c>
      <c r="AZ91" s="43" t="s">
        <v>70</v>
      </c>
      <c r="BA91" s="43" t="s">
        <v>71</v>
      </c>
      <c r="BB91" s="43" t="s">
        <v>69</v>
      </c>
      <c r="BC91" s="51">
        <v>31</v>
      </c>
      <c r="BD91" s="43" t="s">
        <v>70</v>
      </c>
      <c r="BE91" s="9">
        <f t="shared" si="5"/>
        <v>82</v>
      </c>
      <c r="BF91" s="9" t="str">
        <f t="shared" si="4"/>
        <v>..</v>
      </c>
    </row>
    <row r="92" spans="1:58" ht="18" customHeight="1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1" t="s">
        <v>93</v>
      </c>
      <c r="N92" s="44"/>
      <c r="O92" s="44"/>
      <c r="P92" s="44"/>
      <c r="Q92" s="45"/>
      <c r="R92" s="46"/>
      <c r="S92" s="46"/>
      <c r="T92" s="46"/>
      <c r="U92" s="44" t="s">
        <v>96</v>
      </c>
      <c r="V92" s="46"/>
      <c r="W92" s="44"/>
      <c r="X92" s="44"/>
      <c r="Y92" s="44"/>
      <c r="Z92" s="44"/>
      <c r="AA92" s="44"/>
      <c r="AB92" s="42"/>
      <c r="AC92" s="47" t="s">
        <v>97</v>
      </c>
      <c r="AD92" s="48"/>
      <c r="AE92" s="43"/>
      <c r="AF92" s="43"/>
      <c r="AG92" s="43"/>
      <c r="AH92" s="43"/>
      <c r="AI92" s="55"/>
      <c r="AJ92" s="52"/>
      <c r="AK92" s="56"/>
      <c r="AL92" s="46"/>
      <c r="AM92" s="46"/>
      <c r="AN92" s="46"/>
      <c r="AO92" s="46"/>
      <c r="AP92" s="46"/>
      <c r="AQ92" s="46"/>
      <c r="AR92" s="49"/>
      <c r="AS92" s="50"/>
      <c r="AT92" s="52"/>
      <c r="AU92" s="53"/>
      <c r="AV92" s="58"/>
      <c r="AW92" s="58"/>
      <c r="AX92" s="54" t="s">
        <v>69</v>
      </c>
      <c r="AY92" s="43" t="s">
        <v>70</v>
      </c>
      <c r="AZ92" s="43" t="s">
        <v>70</v>
      </c>
      <c r="BA92" s="43" t="s">
        <v>71</v>
      </c>
      <c r="BB92" s="43" t="s">
        <v>69</v>
      </c>
      <c r="BC92" s="51">
        <v>31</v>
      </c>
      <c r="BD92" s="43" t="s">
        <v>70</v>
      </c>
      <c r="BE92" s="9">
        <f t="shared" si="5"/>
        <v>83</v>
      </c>
      <c r="BF92" s="9" t="str">
        <f t="shared" si="4"/>
        <v>..</v>
      </c>
    </row>
    <row r="93" spans="1:58" ht="18" customHeight="1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1" t="s">
        <v>93</v>
      </c>
      <c r="N93" s="44"/>
      <c r="O93" s="44"/>
      <c r="P93" s="44"/>
      <c r="Q93" s="45"/>
      <c r="R93" s="46"/>
      <c r="S93" s="46"/>
      <c r="T93" s="46"/>
      <c r="U93" s="44" t="s">
        <v>96</v>
      </c>
      <c r="V93" s="46"/>
      <c r="W93" s="44"/>
      <c r="X93" s="44"/>
      <c r="Y93" s="44"/>
      <c r="Z93" s="44"/>
      <c r="AA93" s="44"/>
      <c r="AB93" s="42"/>
      <c r="AC93" s="47" t="s">
        <v>97</v>
      </c>
      <c r="AD93" s="48"/>
      <c r="AE93" s="43"/>
      <c r="AF93" s="43"/>
      <c r="AG93" s="43"/>
      <c r="AH93" s="43"/>
      <c r="AI93" s="55"/>
      <c r="AJ93" s="52"/>
      <c r="AK93" s="56"/>
      <c r="AL93" s="46"/>
      <c r="AM93" s="46"/>
      <c r="AN93" s="46"/>
      <c r="AO93" s="46"/>
      <c r="AP93" s="46"/>
      <c r="AQ93" s="46"/>
      <c r="AR93" s="49"/>
      <c r="AS93" s="50"/>
      <c r="AT93" s="52"/>
      <c r="AU93" s="53"/>
      <c r="AV93" s="58"/>
      <c r="AW93" s="58"/>
      <c r="AX93" s="54" t="s">
        <v>69</v>
      </c>
      <c r="AY93" s="43" t="s">
        <v>70</v>
      </c>
      <c r="AZ93" s="43" t="s">
        <v>70</v>
      </c>
      <c r="BA93" s="43" t="s">
        <v>71</v>
      </c>
      <c r="BB93" s="43" t="s">
        <v>69</v>
      </c>
      <c r="BC93" s="51">
        <v>31</v>
      </c>
      <c r="BD93" s="43" t="s">
        <v>70</v>
      </c>
      <c r="BE93" s="9">
        <f t="shared" si="5"/>
        <v>84</v>
      </c>
      <c r="BF93" s="9" t="str">
        <f t="shared" si="4"/>
        <v>..</v>
      </c>
    </row>
    <row r="94" spans="1:58" ht="18" customHeight="1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1" t="s">
        <v>93</v>
      </c>
      <c r="N94" s="44"/>
      <c r="O94" s="44"/>
      <c r="P94" s="44"/>
      <c r="Q94" s="45"/>
      <c r="R94" s="46"/>
      <c r="S94" s="46"/>
      <c r="T94" s="46"/>
      <c r="U94" s="44" t="s">
        <v>96</v>
      </c>
      <c r="V94" s="46"/>
      <c r="W94" s="44"/>
      <c r="X94" s="44"/>
      <c r="Y94" s="44"/>
      <c r="Z94" s="44"/>
      <c r="AA94" s="44"/>
      <c r="AB94" s="42"/>
      <c r="AC94" s="47" t="s">
        <v>97</v>
      </c>
      <c r="AD94" s="48"/>
      <c r="AE94" s="43"/>
      <c r="AF94" s="43"/>
      <c r="AG94" s="43"/>
      <c r="AH94" s="43"/>
      <c r="AI94" s="55"/>
      <c r="AJ94" s="52"/>
      <c r="AK94" s="56"/>
      <c r="AL94" s="46"/>
      <c r="AM94" s="46"/>
      <c r="AN94" s="46"/>
      <c r="AO94" s="46"/>
      <c r="AP94" s="46"/>
      <c r="AQ94" s="46"/>
      <c r="AR94" s="49"/>
      <c r="AS94" s="50"/>
      <c r="AT94" s="52"/>
      <c r="AU94" s="53"/>
      <c r="AV94" s="58"/>
      <c r="AW94" s="58"/>
      <c r="AX94" s="54" t="s">
        <v>69</v>
      </c>
      <c r="AY94" s="43" t="s">
        <v>70</v>
      </c>
      <c r="AZ94" s="43" t="s">
        <v>70</v>
      </c>
      <c r="BA94" s="43" t="s">
        <v>71</v>
      </c>
      <c r="BB94" s="43" t="s">
        <v>69</v>
      </c>
      <c r="BC94" s="51">
        <v>31</v>
      </c>
      <c r="BD94" s="43" t="s">
        <v>70</v>
      </c>
      <c r="BE94" s="9">
        <f t="shared" si="5"/>
        <v>85</v>
      </c>
      <c r="BF94" s="9" t="str">
        <f t="shared" si="4"/>
        <v>..</v>
      </c>
    </row>
    <row r="95" spans="1:58" ht="18" customHeight="1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1" t="s">
        <v>93</v>
      </c>
      <c r="N95" s="44"/>
      <c r="O95" s="44"/>
      <c r="P95" s="44"/>
      <c r="Q95" s="45"/>
      <c r="R95" s="46"/>
      <c r="S95" s="46"/>
      <c r="T95" s="46"/>
      <c r="U95" s="44" t="s">
        <v>96</v>
      </c>
      <c r="V95" s="46"/>
      <c r="W95" s="44"/>
      <c r="X95" s="44"/>
      <c r="Y95" s="44"/>
      <c r="Z95" s="44"/>
      <c r="AA95" s="44"/>
      <c r="AB95" s="42"/>
      <c r="AC95" s="47" t="s">
        <v>97</v>
      </c>
      <c r="AD95" s="48"/>
      <c r="AE95" s="43"/>
      <c r="AF95" s="43"/>
      <c r="AG95" s="43"/>
      <c r="AH95" s="43"/>
      <c r="AI95" s="55"/>
      <c r="AJ95" s="52"/>
      <c r="AK95" s="56"/>
      <c r="AL95" s="46"/>
      <c r="AM95" s="46"/>
      <c r="AN95" s="46"/>
      <c r="AO95" s="46"/>
      <c r="AP95" s="46"/>
      <c r="AQ95" s="46"/>
      <c r="AR95" s="49"/>
      <c r="AS95" s="50"/>
      <c r="AT95" s="52"/>
      <c r="AU95" s="53"/>
      <c r="AV95" s="58"/>
      <c r="AW95" s="58"/>
      <c r="AX95" s="54" t="s">
        <v>69</v>
      </c>
      <c r="AY95" s="43" t="s">
        <v>70</v>
      </c>
      <c r="AZ95" s="43" t="s">
        <v>70</v>
      </c>
      <c r="BA95" s="43" t="s">
        <v>71</v>
      </c>
      <c r="BB95" s="43" t="s">
        <v>69</v>
      </c>
      <c r="BC95" s="51">
        <v>31</v>
      </c>
      <c r="BD95" s="43" t="s">
        <v>70</v>
      </c>
      <c r="BE95" s="9">
        <f t="shared" si="5"/>
        <v>86</v>
      </c>
      <c r="BF95" s="9" t="str">
        <f t="shared" si="4"/>
        <v>..</v>
      </c>
    </row>
    <row r="96" spans="1:58" ht="18" customHeight="1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1" t="s">
        <v>93</v>
      </c>
      <c r="N96" s="44"/>
      <c r="O96" s="44"/>
      <c r="P96" s="44"/>
      <c r="Q96" s="45"/>
      <c r="R96" s="46"/>
      <c r="S96" s="46"/>
      <c r="T96" s="46"/>
      <c r="U96" s="44" t="s">
        <v>96</v>
      </c>
      <c r="V96" s="46"/>
      <c r="W96" s="44"/>
      <c r="X96" s="44"/>
      <c r="Y96" s="44"/>
      <c r="Z96" s="44"/>
      <c r="AA96" s="44"/>
      <c r="AB96" s="42"/>
      <c r="AC96" s="47" t="s">
        <v>97</v>
      </c>
      <c r="AD96" s="48"/>
      <c r="AE96" s="43"/>
      <c r="AF96" s="43"/>
      <c r="AG96" s="43"/>
      <c r="AH96" s="43"/>
      <c r="AI96" s="55"/>
      <c r="AJ96" s="52"/>
      <c r="AK96" s="56"/>
      <c r="AL96" s="46"/>
      <c r="AM96" s="46"/>
      <c r="AN96" s="46"/>
      <c r="AO96" s="46"/>
      <c r="AP96" s="46"/>
      <c r="AQ96" s="46"/>
      <c r="AR96" s="49"/>
      <c r="AS96" s="50"/>
      <c r="AT96" s="52"/>
      <c r="AU96" s="53"/>
      <c r="AV96" s="58"/>
      <c r="AW96" s="58"/>
      <c r="AX96" s="54" t="s">
        <v>69</v>
      </c>
      <c r="AY96" s="43" t="s">
        <v>70</v>
      </c>
      <c r="AZ96" s="43" t="s">
        <v>70</v>
      </c>
      <c r="BA96" s="43" t="s">
        <v>71</v>
      </c>
      <c r="BB96" s="43" t="s">
        <v>69</v>
      </c>
      <c r="BC96" s="51">
        <v>31</v>
      </c>
      <c r="BD96" s="43" t="s">
        <v>70</v>
      </c>
      <c r="BE96" s="9">
        <f t="shared" si="5"/>
        <v>87</v>
      </c>
      <c r="BF96" s="9" t="str">
        <f t="shared" si="4"/>
        <v>..</v>
      </c>
    </row>
    <row r="97" spans="1:58" ht="18" customHeight="1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1" t="s">
        <v>93</v>
      </c>
      <c r="N97" s="44"/>
      <c r="O97" s="44"/>
      <c r="P97" s="44"/>
      <c r="Q97" s="45"/>
      <c r="R97" s="46"/>
      <c r="S97" s="46"/>
      <c r="T97" s="46"/>
      <c r="U97" s="44" t="s">
        <v>96</v>
      </c>
      <c r="V97" s="46"/>
      <c r="W97" s="44"/>
      <c r="X97" s="44"/>
      <c r="Y97" s="44"/>
      <c r="Z97" s="44"/>
      <c r="AA97" s="44"/>
      <c r="AB97" s="42"/>
      <c r="AC97" s="47" t="s">
        <v>97</v>
      </c>
      <c r="AD97" s="48"/>
      <c r="AE97" s="43"/>
      <c r="AF97" s="43"/>
      <c r="AG97" s="43"/>
      <c r="AH97" s="43"/>
      <c r="AI97" s="55"/>
      <c r="AJ97" s="52"/>
      <c r="AK97" s="56"/>
      <c r="AL97" s="46"/>
      <c r="AM97" s="46"/>
      <c r="AN97" s="46"/>
      <c r="AO97" s="46"/>
      <c r="AP97" s="46"/>
      <c r="AQ97" s="46"/>
      <c r="AR97" s="49"/>
      <c r="AS97" s="50"/>
      <c r="AT97" s="52"/>
      <c r="AU97" s="53"/>
      <c r="AV97" s="58"/>
      <c r="AW97" s="58"/>
      <c r="AX97" s="54" t="s">
        <v>69</v>
      </c>
      <c r="AY97" s="43" t="s">
        <v>70</v>
      </c>
      <c r="AZ97" s="43" t="s">
        <v>70</v>
      </c>
      <c r="BA97" s="43" t="s">
        <v>71</v>
      </c>
      <c r="BB97" s="43" t="s">
        <v>69</v>
      </c>
      <c r="BC97" s="51">
        <v>31</v>
      </c>
      <c r="BD97" s="43" t="s">
        <v>70</v>
      </c>
      <c r="BE97" s="9">
        <f t="shared" si="5"/>
        <v>88</v>
      </c>
      <c r="BF97" s="9" t="str">
        <f t="shared" si="4"/>
        <v>..</v>
      </c>
    </row>
    <row r="98" spans="1:58" ht="18" customHeight="1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1" t="s">
        <v>93</v>
      </c>
      <c r="N98" s="44"/>
      <c r="O98" s="44"/>
      <c r="P98" s="44"/>
      <c r="Q98" s="45"/>
      <c r="R98" s="46"/>
      <c r="S98" s="46"/>
      <c r="T98" s="46"/>
      <c r="U98" s="44" t="s">
        <v>96</v>
      </c>
      <c r="V98" s="46"/>
      <c r="W98" s="44"/>
      <c r="X98" s="44"/>
      <c r="Y98" s="44"/>
      <c r="Z98" s="44"/>
      <c r="AA98" s="44"/>
      <c r="AB98" s="42"/>
      <c r="AC98" s="47" t="s">
        <v>97</v>
      </c>
      <c r="AD98" s="48"/>
      <c r="AE98" s="43"/>
      <c r="AF98" s="43"/>
      <c r="AG98" s="43"/>
      <c r="AH98" s="43"/>
      <c r="AI98" s="55"/>
      <c r="AJ98" s="52"/>
      <c r="AK98" s="56"/>
      <c r="AL98" s="46"/>
      <c r="AM98" s="46"/>
      <c r="AN98" s="46"/>
      <c r="AO98" s="46"/>
      <c r="AP98" s="46"/>
      <c r="AQ98" s="46"/>
      <c r="AR98" s="49"/>
      <c r="AS98" s="50"/>
      <c r="AT98" s="52"/>
      <c r="AU98" s="53"/>
      <c r="AV98" s="58"/>
      <c r="AW98" s="58"/>
      <c r="AX98" s="54" t="s">
        <v>69</v>
      </c>
      <c r="AY98" s="43" t="s">
        <v>70</v>
      </c>
      <c r="AZ98" s="43" t="s">
        <v>70</v>
      </c>
      <c r="BA98" s="43" t="s">
        <v>71</v>
      </c>
      <c r="BB98" s="43" t="s">
        <v>69</v>
      </c>
      <c r="BC98" s="51">
        <v>31</v>
      </c>
      <c r="BD98" s="43" t="s">
        <v>70</v>
      </c>
      <c r="BE98" s="9">
        <f t="shared" si="5"/>
        <v>89</v>
      </c>
      <c r="BF98" s="9" t="str">
        <f t="shared" si="4"/>
        <v>..</v>
      </c>
    </row>
    <row r="99" spans="1:58" ht="18" customHeight="1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1" t="s">
        <v>93</v>
      </c>
      <c r="N99" s="44"/>
      <c r="O99" s="44"/>
      <c r="P99" s="44"/>
      <c r="Q99" s="45"/>
      <c r="R99" s="46"/>
      <c r="S99" s="46"/>
      <c r="T99" s="46"/>
      <c r="U99" s="44" t="s">
        <v>96</v>
      </c>
      <c r="V99" s="46"/>
      <c r="W99" s="44"/>
      <c r="X99" s="44"/>
      <c r="Y99" s="44"/>
      <c r="Z99" s="44"/>
      <c r="AA99" s="44"/>
      <c r="AB99" s="42"/>
      <c r="AC99" s="47" t="s">
        <v>97</v>
      </c>
      <c r="AD99" s="48"/>
      <c r="AE99" s="43"/>
      <c r="AF99" s="43"/>
      <c r="AG99" s="43"/>
      <c r="AH99" s="43"/>
      <c r="AI99" s="55"/>
      <c r="AJ99" s="52"/>
      <c r="AK99" s="56"/>
      <c r="AL99" s="46"/>
      <c r="AM99" s="46"/>
      <c r="AN99" s="46"/>
      <c r="AO99" s="46"/>
      <c r="AP99" s="46"/>
      <c r="AQ99" s="46"/>
      <c r="AR99" s="49"/>
      <c r="AS99" s="50"/>
      <c r="AT99" s="52"/>
      <c r="AU99" s="53"/>
      <c r="AV99" s="58"/>
      <c r="AW99" s="58"/>
      <c r="AX99" s="54" t="s">
        <v>69</v>
      </c>
      <c r="AY99" s="43" t="s">
        <v>70</v>
      </c>
      <c r="AZ99" s="43" t="s">
        <v>70</v>
      </c>
      <c r="BA99" s="43" t="s">
        <v>71</v>
      </c>
      <c r="BB99" s="43" t="s">
        <v>69</v>
      </c>
      <c r="BC99" s="51">
        <v>31</v>
      </c>
      <c r="BD99" s="43" t="s">
        <v>70</v>
      </c>
      <c r="BE99" s="9">
        <f t="shared" si="5"/>
        <v>90</v>
      </c>
      <c r="BF99" s="9" t="str">
        <f t="shared" si="4"/>
        <v>..</v>
      </c>
    </row>
    <row r="100" spans="1:58" ht="18" customHeight="1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1" t="s">
        <v>93</v>
      </c>
      <c r="N100" s="44"/>
      <c r="O100" s="44"/>
      <c r="P100" s="44"/>
      <c r="Q100" s="45"/>
      <c r="R100" s="46"/>
      <c r="S100" s="46"/>
      <c r="T100" s="46"/>
      <c r="U100" s="44" t="s">
        <v>96</v>
      </c>
      <c r="V100" s="46"/>
      <c r="W100" s="44"/>
      <c r="X100" s="44"/>
      <c r="Y100" s="44"/>
      <c r="Z100" s="44"/>
      <c r="AA100" s="44"/>
      <c r="AB100" s="42"/>
      <c r="AC100" s="47" t="s">
        <v>97</v>
      </c>
      <c r="AD100" s="48"/>
      <c r="AE100" s="43"/>
      <c r="AF100" s="43"/>
      <c r="AG100" s="43"/>
      <c r="AH100" s="43"/>
      <c r="AI100" s="55"/>
      <c r="AJ100" s="52"/>
      <c r="AK100" s="56"/>
      <c r="AL100" s="46"/>
      <c r="AM100" s="46"/>
      <c r="AN100" s="46"/>
      <c r="AO100" s="46"/>
      <c r="AP100" s="46"/>
      <c r="AQ100" s="46"/>
      <c r="AR100" s="49"/>
      <c r="AS100" s="50"/>
      <c r="AT100" s="52"/>
      <c r="AU100" s="53"/>
      <c r="AV100" s="58"/>
      <c r="AW100" s="58"/>
      <c r="AX100" s="54" t="s">
        <v>69</v>
      </c>
      <c r="AY100" s="43" t="s">
        <v>70</v>
      </c>
      <c r="AZ100" s="43" t="s">
        <v>70</v>
      </c>
      <c r="BA100" s="43" t="s">
        <v>71</v>
      </c>
      <c r="BB100" s="43" t="s">
        <v>69</v>
      </c>
      <c r="BC100" s="51">
        <v>31</v>
      </c>
      <c r="BD100" s="43" t="s">
        <v>70</v>
      </c>
      <c r="BE100" s="9">
        <f t="shared" si="5"/>
        <v>91</v>
      </c>
      <c r="BF100" s="9" t="str">
        <f t="shared" si="4"/>
        <v>..</v>
      </c>
    </row>
    <row r="101" spans="1:58" s="9" customFormat="1" ht="18" customHeight="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1" t="s">
        <v>93</v>
      </c>
      <c r="N101" s="44"/>
      <c r="O101" s="44"/>
      <c r="P101" s="44"/>
      <c r="Q101" s="45"/>
      <c r="R101" s="46"/>
      <c r="S101" s="46"/>
      <c r="T101" s="46"/>
      <c r="U101" s="44" t="s">
        <v>96</v>
      </c>
      <c r="V101" s="46"/>
      <c r="W101" s="44"/>
      <c r="X101" s="44"/>
      <c r="Y101" s="44"/>
      <c r="Z101" s="44"/>
      <c r="AA101" s="44"/>
      <c r="AB101" s="42"/>
      <c r="AC101" s="47" t="s">
        <v>97</v>
      </c>
      <c r="AD101" s="48"/>
      <c r="AE101" s="43"/>
      <c r="AF101" s="43"/>
      <c r="AG101" s="43"/>
      <c r="AH101" s="43"/>
      <c r="AI101" s="55"/>
      <c r="AJ101" s="52"/>
      <c r="AK101" s="56"/>
      <c r="AL101" s="46"/>
      <c r="AM101" s="46"/>
      <c r="AN101" s="46"/>
      <c r="AO101" s="46"/>
      <c r="AP101" s="46"/>
      <c r="AQ101" s="46"/>
      <c r="AR101" s="49"/>
      <c r="AS101" s="50"/>
      <c r="AT101" s="52"/>
      <c r="AU101" s="53"/>
      <c r="AV101" s="58"/>
      <c r="AW101" s="58"/>
      <c r="AX101" s="54" t="s">
        <v>69</v>
      </c>
      <c r="AY101" s="43" t="s">
        <v>70</v>
      </c>
      <c r="AZ101" s="43" t="s">
        <v>70</v>
      </c>
      <c r="BA101" s="43" t="s">
        <v>71</v>
      </c>
      <c r="BB101" s="43" t="s">
        <v>69</v>
      </c>
      <c r="BC101" s="51">
        <v>31</v>
      </c>
      <c r="BD101" s="43" t="s">
        <v>70</v>
      </c>
      <c r="BE101" s="9">
        <f t="shared" si="5"/>
        <v>92</v>
      </c>
      <c r="BF101" s="9" t="str">
        <f t="shared" si="4"/>
        <v>..</v>
      </c>
    </row>
    <row r="102" spans="1:58" s="9" customFormat="1" ht="18" customHeight="1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1" t="s">
        <v>93</v>
      </c>
      <c r="N102" s="44"/>
      <c r="O102" s="44"/>
      <c r="P102" s="44"/>
      <c r="Q102" s="45"/>
      <c r="R102" s="46"/>
      <c r="S102" s="46"/>
      <c r="T102" s="46"/>
      <c r="U102" s="44" t="s">
        <v>96</v>
      </c>
      <c r="V102" s="46"/>
      <c r="W102" s="44"/>
      <c r="X102" s="44"/>
      <c r="Y102" s="44"/>
      <c r="Z102" s="44"/>
      <c r="AA102" s="44"/>
      <c r="AB102" s="42"/>
      <c r="AC102" s="47" t="s">
        <v>97</v>
      </c>
      <c r="AD102" s="48"/>
      <c r="AE102" s="43"/>
      <c r="AF102" s="43"/>
      <c r="AG102" s="43"/>
      <c r="AH102" s="43"/>
      <c r="AI102" s="55"/>
      <c r="AJ102" s="52"/>
      <c r="AK102" s="56"/>
      <c r="AL102" s="46"/>
      <c r="AM102" s="46"/>
      <c r="AN102" s="46"/>
      <c r="AO102" s="46"/>
      <c r="AP102" s="46"/>
      <c r="AQ102" s="46"/>
      <c r="AR102" s="49"/>
      <c r="AS102" s="50"/>
      <c r="AT102" s="52"/>
      <c r="AU102" s="53"/>
      <c r="AV102" s="58"/>
      <c r="AW102" s="58"/>
      <c r="AX102" s="54" t="s">
        <v>69</v>
      </c>
      <c r="AY102" s="43" t="s">
        <v>70</v>
      </c>
      <c r="AZ102" s="43" t="s">
        <v>70</v>
      </c>
      <c r="BA102" s="43" t="s">
        <v>71</v>
      </c>
      <c r="BB102" s="43" t="s">
        <v>69</v>
      </c>
      <c r="BC102" s="51">
        <v>31</v>
      </c>
      <c r="BD102" s="43" t="s">
        <v>70</v>
      </c>
      <c r="BE102" s="9">
        <f t="shared" si="5"/>
        <v>93</v>
      </c>
      <c r="BF102" s="9" t="str">
        <f t="shared" si="4"/>
        <v>..</v>
      </c>
    </row>
    <row r="103" spans="1:58" s="9" customFormat="1" ht="18" customHeight="1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1" t="s">
        <v>93</v>
      </c>
      <c r="N103" s="44"/>
      <c r="O103" s="44"/>
      <c r="P103" s="44"/>
      <c r="Q103" s="45"/>
      <c r="R103" s="46"/>
      <c r="S103" s="46"/>
      <c r="T103" s="46"/>
      <c r="U103" s="44" t="s">
        <v>96</v>
      </c>
      <c r="V103" s="46"/>
      <c r="W103" s="44"/>
      <c r="X103" s="44"/>
      <c r="Y103" s="44"/>
      <c r="Z103" s="44"/>
      <c r="AA103" s="44"/>
      <c r="AB103" s="42"/>
      <c r="AC103" s="47" t="s">
        <v>97</v>
      </c>
      <c r="AD103" s="48"/>
      <c r="AE103" s="43"/>
      <c r="AF103" s="43"/>
      <c r="AG103" s="43"/>
      <c r="AH103" s="43"/>
      <c r="AI103" s="55"/>
      <c r="AJ103" s="52"/>
      <c r="AK103" s="56"/>
      <c r="AL103" s="46"/>
      <c r="AM103" s="46"/>
      <c r="AN103" s="46"/>
      <c r="AO103" s="46"/>
      <c r="AP103" s="46"/>
      <c r="AQ103" s="46"/>
      <c r="AR103" s="49"/>
      <c r="AS103" s="50"/>
      <c r="AT103" s="52"/>
      <c r="AU103" s="53"/>
      <c r="AV103" s="58"/>
      <c r="AW103" s="58"/>
      <c r="AX103" s="54" t="s">
        <v>69</v>
      </c>
      <c r="AY103" s="43" t="s">
        <v>70</v>
      </c>
      <c r="AZ103" s="43" t="s">
        <v>70</v>
      </c>
      <c r="BA103" s="43" t="s">
        <v>71</v>
      </c>
      <c r="BB103" s="43" t="s">
        <v>69</v>
      </c>
      <c r="BC103" s="51">
        <v>31</v>
      </c>
      <c r="BD103" s="43" t="s">
        <v>70</v>
      </c>
      <c r="BE103" s="9">
        <f t="shared" si="5"/>
        <v>94</v>
      </c>
      <c r="BF103" s="9" t="str">
        <f t="shared" si="4"/>
        <v>..</v>
      </c>
    </row>
    <row r="104" spans="1:58" s="9" customFormat="1" ht="18" customHeight="1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1" t="s">
        <v>93</v>
      </c>
      <c r="N104" s="44"/>
      <c r="O104" s="44"/>
      <c r="P104" s="44"/>
      <c r="Q104" s="45"/>
      <c r="R104" s="46"/>
      <c r="S104" s="46"/>
      <c r="T104" s="46"/>
      <c r="U104" s="44" t="s">
        <v>96</v>
      </c>
      <c r="V104" s="46"/>
      <c r="W104" s="44"/>
      <c r="X104" s="44"/>
      <c r="Y104" s="44"/>
      <c r="Z104" s="44"/>
      <c r="AA104" s="44"/>
      <c r="AB104" s="42"/>
      <c r="AC104" s="47" t="s">
        <v>97</v>
      </c>
      <c r="AD104" s="48"/>
      <c r="AE104" s="43"/>
      <c r="AF104" s="43"/>
      <c r="AG104" s="43"/>
      <c r="AH104" s="43"/>
      <c r="AI104" s="55"/>
      <c r="AJ104" s="52"/>
      <c r="AK104" s="56"/>
      <c r="AL104" s="46"/>
      <c r="AM104" s="46"/>
      <c r="AN104" s="46"/>
      <c r="AO104" s="46"/>
      <c r="AP104" s="46"/>
      <c r="AQ104" s="46"/>
      <c r="AR104" s="49"/>
      <c r="AS104" s="50"/>
      <c r="AT104" s="52"/>
      <c r="AU104" s="53"/>
      <c r="AV104" s="58"/>
      <c r="AW104" s="58"/>
      <c r="AX104" s="54" t="s">
        <v>69</v>
      </c>
      <c r="AY104" s="43" t="s">
        <v>70</v>
      </c>
      <c r="AZ104" s="43" t="s">
        <v>70</v>
      </c>
      <c r="BA104" s="43" t="s">
        <v>71</v>
      </c>
      <c r="BB104" s="43" t="s">
        <v>69</v>
      </c>
      <c r="BC104" s="51">
        <v>31</v>
      </c>
      <c r="BD104" s="43" t="s">
        <v>70</v>
      </c>
      <c r="BE104" s="9">
        <f t="shared" si="5"/>
        <v>95</v>
      </c>
      <c r="BF104" s="9" t="str">
        <f t="shared" si="4"/>
        <v>..</v>
      </c>
    </row>
    <row r="105" spans="1:58" ht="18" customHeight="1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1" t="s">
        <v>93</v>
      </c>
      <c r="N105" s="44"/>
      <c r="O105" s="44"/>
      <c r="P105" s="44"/>
      <c r="Q105" s="45"/>
      <c r="R105" s="46"/>
      <c r="S105" s="46"/>
      <c r="T105" s="46"/>
      <c r="U105" s="44" t="s">
        <v>96</v>
      </c>
      <c r="V105" s="46"/>
      <c r="W105" s="44"/>
      <c r="X105" s="44"/>
      <c r="Y105" s="44"/>
      <c r="Z105" s="44"/>
      <c r="AA105" s="44"/>
      <c r="AB105" s="42"/>
      <c r="AC105" s="47" t="s">
        <v>97</v>
      </c>
      <c r="AD105" s="48"/>
      <c r="AE105" s="43"/>
      <c r="AF105" s="43"/>
      <c r="AG105" s="43"/>
      <c r="AH105" s="43"/>
      <c r="AI105" s="55"/>
      <c r="AJ105" s="52"/>
      <c r="AT105" s="52"/>
      <c r="AU105" s="53"/>
      <c r="AV105" s="58"/>
      <c r="AW105" s="58"/>
      <c r="AX105" s="54" t="s">
        <v>69</v>
      </c>
      <c r="AY105" s="43" t="s">
        <v>70</v>
      </c>
      <c r="AZ105" s="43" t="s">
        <v>70</v>
      </c>
      <c r="BA105" s="43" t="s">
        <v>71</v>
      </c>
      <c r="BB105" s="43" t="s">
        <v>69</v>
      </c>
      <c r="BC105" s="51">
        <v>31</v>
      </c>
      <c r="BD105" s="43" t="s">
        <v>70</v>
      </c>
      <c r="BE105" s="9">
        <f t="shared" si="5"/>
        <v>96</v>
      </c>
      <c r="BF105" s="9" t="str">
        <f t="shared" ref="BF105:BF123" si="6">CONCATENATE(AB105,".",AD105,".",AJ105)</f>
        <v>..</v>
      </c>
    </row>
    <row r="106" spans="1:58" ht="18" customHeight="1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1" t="s">
        <v>93</v>
      </c>
      <c r="N106" s="44"/>
      <c r="O106" s="44"/>
      <c r="P106" s="44"/>
      <c r="Q106" s="45"/>
      <c r="R106" s="46"/>
      <c r="S106" s="46"/>
      <c r="T106" s="46"/>
      <c r="U106" s="44" t="s">
        <v>96</v>
      </c>
      <c r="V106" s="46"/>
      <c r="W106" s="44"/>
      <c r="X106" s="44"/>
      <c r="Y106" s="44"/>
      <c r="Z106" s="44"/>
      <c r="AA106" s="44"/>
      <c r="AB106" s="42"/>
      <c r="AC106" s="47" t="s">
        <v>97</v>
      </c>
      <c r="AD106" s="48"/>
      <c r="AE106" s="43"/>
      <c r="AF106" s="43"/>
      <c r="AG106" s="43"/>
      <c r="AH106" s="43"/>
      <c r="AI106" s="55"/>
      <c r="AJ106" s="52"/>
      <c r="AT106" s="52"/>
      <c r="AU106" s="53"/>
      <c r="AV106" s="58"/>
      <c r="AW106" s="58"/>
      <c r="AX106" s="54" t="s">
        <v>69</v>
      </c>
      <c r="AY106" s="43" t="s">
        <v>70</v>
      </c>
      <c r="AZ106" s="43" t="s">
        <v>70</v>
      </c>
      <c r="BA106" s="43" t="s">
        <v>71</v>
      </c>
      <c r="BB106" s="43" t="s">
        <v>69</v>
      </c>
      <c r="BC106" s="51">
        <v>31</v>
      </c>
      <c r="BD106" s="43" t="s">
        <v>70</v>
      </c>
      <c r="BE106" s="9">
        <f t="shared" si="5"/>
        <v>97</v>
      </c>
      <c r="BF106" s="9" t="str">
        <f t="shared" si="6"/>
        <v>..</v>
      </c>
    </row>
    <row r="107" spans="1:58" ht="18" customHeight="1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1" t="s">
        <v>93</v>
      </c>
      <c r="N107" s="44"/>
      <c r="O107" s="44"/>
      <c r="P107" s="44"/>
      <c r="Q107" s="45"/>
      <c r="R107" s="46"/>
      <c r="S107" s="46"/>
      <c r="T107" s="46"/>
      <c r="U107" s="44" t="s">
        <v>96</v>
      </c>
      <c r="V107" s="46"/>
      <c r="W107" s="44"/>
      <c r="X107" s="44"/>
      <c r="Y107" s="44"/>
      <c r="Z107" s="44"/>
      <c r="AA107" s="44"/>
      <c r="AB107" s="42"/>
      <c r="AC107" s="47" t="s">
        <v>97</v>
      </c>
      <c r="AD107" s="48"/>
      <c r="AE107" s="43"/>
      <c r="AF107" s="43"/>
      <c r="AG107" s="43"/>
      <c r="AH107" s="43"/>
      <c r="AI107" s="55"/>
      <c r="AJ107" s="52"/>
      <c r="AT107" s="52"/>
      <c r="AU107" s="53"/>
      <c r="AV107" s="58"/>
      <c r="AW107" s="58"/>
      <c r="AX107" s="54" t="s">
        <v>69</v>
      </c>
      <c r="AY107" s="43" t="s">
        <v>70</v>
      </c>
      <c r="AZ107" s="43" t="s">
        <v>70</v>
      </c>
      <c r="BA107" s="43" t="s">
        <v>71</v>
      </c>
      <c r="BB107" s="43" t="s">
        <v>69</v>
      </c>
      <c r="BC107" s="51">
        <v>31</v>
      </c>
      <c r="BD107" s="43" t="s">
        <v>70</v>
      </c>
      <c r="BE107" s="9">
        <f t="shared" si="5"/>
        <v>98</v>
      </c>
      <c r="BF107" s="9" t="str">
        <f t="shared" si="6"/>
        <v>..</v>
      </c>
    </row>
    <row r="108" spans="1:58" ht="18" customHeight="1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1" t="s">
        <v>93</v>
      </c>
      <c r="N108" s="44"/>
      <c r="O108" s="44"/>
      <c r="P108" s="44"/>
      <c r="Q108" s="45"/>
      <c r="R108" s="46"/>
      <c r="S108" s="46"/>
      <c r="T108" s="46"/>
      <c r="U108" s="44" t="s">
        <v>96</v>
      </c>
      <c r="V108" s="46"/>
      <c r="W108" s="44"/>
      <c r="X108" s="44"/>
      <c r="Y108" s="44"/>
      <c r="Z108" s="44"/>
      <c r="AA108" s="44"/>
      <c r="AB108" s="42"/>
      <c r="AC108" s="47" t="s">
        <v>97</v>
      </c>
      <c r="AD108" s="48"/>
      <c r="AE108" s="43"/>
      <c r="AF108" s="43"/>
      <c r="AG108" s="43"/>
      <c r="AH108" s="43"/>
      <c r="AI108" s="55"/>
      <c r="AJ108" s="52"/>
      <c r="AT108" s="52"/>
      <c r="AU108" s="53"/>
      <c r="AV108" s="58"/>
      <c r="AW108" s="58"/>
      <c r="AX108" s="54" t="s">
        <v>69</v>
      </c>
      <c r="AY108" s="43" t="s">
        <v>70</v>
      </c>
      <c r="AZ108" s="43" t="s">
        <v>70</v>
      </c>
      <c r="BA108" s="43" t="s">
        <v>71</v>
      </c>
      <c r="BB108" s="43" t="s">
        <v>69</v>
      </c>
      <c r="BC108" s="51">
        <v>31</v>
      </c>
      <c r="BD108" s="43" t="s">
        <v>70</v>
      </c>
      <c r="BE108" s="9">
        <f t="shared" si="5"/>
        <v>99</v>
      </c>
      <c r="BF108" s="9" t="str">
        <f t="shared" si="6"/>
        <v>..</v>
      </c>
    </row>
    <row r="109" spans="1:58" ht="18" customHeight="1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1" t="s">
        <v>93</v>
      </c>
      <c r="N109" s="44"/>
      <c r="O109" s="44"/>
      <c r="P109" s="44"/>
      <c r="Q109" s="45"/>
      <c r="R109" s="46"/>
      <c r="S109" s="46"/>
      <c r="T109" s="46"/>
      <c r="U109" s="44" t="s">
        <v>96</v>
      </c>
      <c r="V109" s="46"/>
      <c r="W109" s="44"/>
      <c r="X109" s="44"/>
      <c r="Y109" s="44"/>
      <c r="Z109" s="44"/>
      <c r="AA109" s="44"/>
      <c r="AB109" s="42"/>
      <c r="AC109" s="47" t="s">
        <v>97</v>
      </c>
      <c r="AD109" s="48"/>
      <c r="AE109" s="43"/>
      <c r="AF109" s="43"/>
      <c r="AG109" s="43"/>
      <c r="AH109" s="43"/>
      <c r="AI109" s="55"/>
      <c r="AJ109" s="52"/>
      <c r="AT109" s="52"/>
      <c r="AU109" s="53"/>
      <c r="AV109" s="58"/>
      <c r="AW109" s="58"/>
      <c r="AX109" s="54" t="s">
        <v>69</v>
      </c>
      <c r="AY109" s="43" t="s">
        <v>70</v>
      </c>
      <c r="AZ109" s="43" t="s">
        <v>70</v>
      </c>
      <c r="BA109" s="43" t="s">
        <v>71</v>
      </c>
      <c r="BB109" s="43" t="s">
        <v>69</v>
      </c>
      <c r="BC109" s="51">
        <v>31</v>
      </c>
      <c r="BD109" s="43" t="s">
        <v>70</v>
      </c>
      <c r="BE109" s="9">
        <f t="shared" si="5"/>
        <v>100</v>
      </c>
      <c r="BF109" s="9" t="str">
        <f t="shared" si="6"/>
        <v>..</v>
      </c>
    </row>
    <row r="110" spans="1:58" ht="18" customHeight="1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1" t="s">
        <v>93</v>
      </c>
      <c r="N110" s="44"/>
      <c r="O110" s="44"/>
      <c r="P110" s="44"/>
      <c r="Q110" s="45"/>
      <c r="R110" s="46"/>
      <c r="S110" s="46"/>
      <c r="T110" s="46"/>
      <c r="U110" s="44" t="s">
        <v>96</v>
      </c>
      <c r="V110" s="46"/>
      <c r="W110" s="44"/>
      <c r="X110" s="44"/>
      <c r="Y110" s="44"/>
      <c r="Z110" s="44"/>
      <c r="AA110" s="44"/>
      <c r="AB110" s="42"/>
      <c r="AC110" s="47" t="s">
        <v>97</v>
      </c>
      <c r="AD110" s="48"/>
      <c r="AE110" s="43"/>
      <c r="AF110" s="43"/>
      <c r="AG110" s="43"/>
      <c r="AH110" s="43"/>
      <c r="AI110" s="55"/>
      <c r="AJ110" s="52"/>
      <c r="AT110" s="52"/>
      <c r="AU110" s="53"/>
      <c r="AV110" s="58"/>
      <c r="AW110" s="58"/>
      <c r="AX110" s="54" t="s">
        <v>69</v>
      </c>
      <c r="AY110" s="43" t="s">
        <v>70</v>
      </c>
      <c r="AZ110" s="43" t="s">
        <v>70</v>
      </c>
      <c r="BA110" s="43" t="s">
        <v>71</v>
      </c>
      <c r="BB110" s="43" t="s">
        <v>69</v>
      </c>
      <c r="BC110" s="51">
        <v>31</v>
      </c>
      <c r="BD110" s="43" t="s">
        <v>70</v>
      </c>
      <c r="BE110" s="9">
        <f t="shared" si="5"/>
        <v>101</v>
      </c>
      <c r="BF110" s="9" t="str">
        <f t="shared" si="6"/>
        <v>..</v>
      </c>
    </row>
    <row r="111" spans="1:58" ht="18" customHeight="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1" t="s">
        <v>93</v>
      </c>
      <c r="N111" s="44"/>
      <c r="O111" s="44"/>
      <c r="P111" s="44"/>
      <c r="Q111" s="45"/>
      <c r="R111" s="46"/>
      <c r="S111" s="46"/>
      <c r="T111" s="46"/>
      <c r="U111" s="44" t="s">
        <v>96</v>
      </c>
      <c r="V111" s="46"/>
      <c r="W111" s="44"/>
      <c r="X111" s="44"/>
      <c r="Y111" s="44"/>
      <c r="Z111" s="44"/>
      <c r="AA111" s="44"/>
      <c r="AB111" s="42"/>
      <c r="AC111" s="47" t="s">
        <v>97</v>
      </c>
      <c r="AD111" s="48"/>
      <c r="AE111" s="43"/>
      <c r="AF111" s="43"/>
      <c r="AG111" s="43"/>
      <c r="AH111" s="43"/>
      <c r="AI111" s="55"/>
      <c r="AJ111" s="52"/>
      <c r="AT111" s="52"/>
      <c r="AU111" s="53"/>
      <c r="AV111" s="58"/>
      <c r="AW111" s="58"/>
      <c r="AX111" s="54" t="s">
        <v>69</v>
      </c>
      <c r="AY111" s="43" t="s">
        <v>70</v>
      </c>
      <c r="AZ111" s="43" t="s">
        <v>70</v>
      </c>
      <c r="BA111" s="43" t="s">
        <v>71</v>
      </c>
      <c r="BB111" s="43" t="s">
        <v>69</v>
      </c>
      <c r="BC111" s="51">
        <v>31</v>
      </c>
      <c r="BD111" s="43" t="s">
        <v>70</v>
      </c>
      <c r="BE111" s="9">
        <f t="shared" si="5"/>
        <v>102</v>
      </c>
      <c r="BF111" s="9" t="str">
        <f t="shared" si="6"/>
        <v>..</v>
      </c>
    </row>
    <row r="112" spans="1:58" ht="18" customHeight="1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1" t="s">
        <v>93</v>
      </c>
      <c r="N112" s="44"/>
      <c r="O112" s="44"/>
      <c r="P112" s="44"/>
      <c r="Q112" s="45"/>
      <c r="R112" s="46"/>
      <c r="S112" s="46"/>
      <c r="T112" s="46"/>
      <c r="U112" s="44" t="s">
        <v>96</v>
      </c>
      <c r="V112" s="46"/>
      <c r="W112" s="44"/>
      <c r="X112" s="44"/>
      <c r="Y112" s="44"/>
      <c r="Z112" s="44"/>
      <c r="AA112" s="44"/>
      <c r="AB112" s="42"/>
      <c r="AC112" s="47" t="s">
        <v>97</v>
      </c>
      <c r="AD112" s="48"/>
      <c r="AE112" s="43"/>
      <c r="AF112" s="43"/>
      <c r="AG112" s="43"/>
      <c r="AH112" s="43"/>
      <c r="AI112" s="55"/>
      <c r="AJ112" s="52"/>
      <c r="AT112" s="52"/>
      <c r="AU112" s="59"/>
      <c r="AV112" s="58"/>
      <c r="AW112" s="58"/>
      <c r="AX112" s="54" t="s">
        <v>69</v>
      </c>
      <c r="AY112" s="43" t="s">
        <v>70</v>
      </c>
      <c r="AZ112" s="43" t="s">
        <v>70</v>
      </c>
      <c r="BA112" s="43" t="s">
        <v>71</v>
      </c>
      <c r="BB112" s="43" t="s">
        <v>69</v>
      </c>
      <c r="BC112" s="51">
        <v>31</v>
      </c>
      <c r="BD112" s="43" t="s">
        <v>70</v>
      </c>
      <c r="BE112" s="9">
        <f t="shared" si="5"/>
        <v>103</v>
      </c>
      <c r="BF112" s="9" t="str">
        <f t="shared" si="6"/>
        <v>..</v>
      </c>
    </row>
    <row r="113" spans="1:58" ht="18" customHeight="1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1" t="s">
        <v>93</v>
      </c>
      <c r="N113" s="44"/>
      <c r="O113" s="44"/>
      <c r="P113" s="44"/>
      <c r="Q113" s="45"/>
      <c r="R113" s="46"/>
      <c r="S113" s="46"/>
      <c r="T113" s="46"/>
      <c r="U113" s="44" t="s">
        <v>96</v>
      </c>
      <c r="V113" s="46"/>
      <c r="W113" s="44"/>
      <c r="X113" s="44"/>
      <c r="Y113" s="44"/>
      <c r="Z113" s="44"/>
      <c r="AA113" s="44"/>
      <c r="AB113" s="42"/>
      <c r="AC113" s="47" t="s">
        <v>97</v>
      </c>
      <c r="AD113" s="48"/>
      <c r="AE113" s="43"/>
      <c r="AF113" s="43"/>
      <c r="AG113" s="43"/>
      <c r="AH113" s="43"/>
      <c r="AI113" s="55"/>
      <c r="AJ113" s="52"/>
      <c r="AT113" s="52"/>
      <c r="AU113" s="59"/>
      <c r="AV113" s="58"/>
      <c r="AW113" s="58"/>
      <c r="AX113" s="54" t="s">
        <v>69</v>
      </c>
      <c r="AY113" s="43" t="s">
        <v>70</v>
      </c>
      <c r="AZ113" s="43" t="s">
        <v>70</v>
      </c>
      <c r="BA113" s="43" t="s">
        <v>71</v>
      </c>
      <c r="BB113" s="43" t="s">
        <v>69</v>
      </c>
      <c r="BC113" s="51">
        <v>31</v>
      </c>
      <c r="BD113" s="43" t="s">
        <v>70</v>
      </c>
      <c r="BE113" s="9">
        <f t="shared" si="5"/>
        <v>104</v>
      </c>
      <c r="BF113" s="9" t="str">
        <f t="shared" si="6"/>
        <v>..</v>
      </c>
    </row>
    <row r="114" spans="1:58" ht="18" customHeight="1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1" t="s">
        <v>93</v>
      </c>
      <c r="N114" s="44"/>
      <c r="O114" s="44"/>
      <c r="P114" s="44"/>
      <c r="Q114" s="45"/>
      <c r="R114" s="46"/>
      <c r="S114" s="46"/>
      <c r="T114" s="46"/>
      <c r="U114" s="44" t="s">
        <v>96</v>
      </c>
      <c r="V114" s="46"/>
      <c r="W114" s="44"/>
      <c r="X114" s="44"/>
      <c r="Y114" s="44"/>
      <c r="Z114" s="44"/>
      <c r="AA114" s="44"/>
      <c r="AB114" s="42"/>
      <c r="AC114" s="47" t="s">
        <v>97</v>
      </c>
      <c r="AD114" s="48"/>
      <c r="AE114" s="43"/>
      <c r="AF114" s="43"/>
      <c r="AG114" s="43"/>
      <c r="AH114" s="43"/>
      <c r="AI114" s="55"/>
      <c r="AJ114" s="52"/>
      <c r="AT114" s="52"/>
      <c r="AU114" s="59"/>
      <c r="AV114" s="58"/>
      <c r="AW114" s="58"/>
      <c r="AX114" s="54" t="s">
        <v>69</v>
      </c>
      <c r="AY114" s="43" t="s">
        <v>70</v>
      </c>
      <c r="AZ114" s="43" t="s">
        <v>70</v>
      </c>
      <c r="BA114" s="43" t="s">
        <v>71</v>
      </c>
      <c r="BB114" s="43" t="s">
        <v>69</v>
      </c>
      <c r="BC114" s="51">
        <v>31</v>
      </c>
      <c r="BD114" s="43" t="s">
        <v>70</v>
      </c>
      <c r="BE114" s="9">
        <f t="shared" si="5"/>
        <v>105</v>
      </c>
      <c r="BF114" s="9" t="str">
        <f t="shared" si="6"/>
        <v>..</v>
      </c>
    </row>
    <row r="115" spans="1:58" ht="18" customHeight="1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1" t="s">
        <v>93</v>
      </c>
      <c r="N115" s="44"/>
      <c r="O115" s="44"/>
      <c r="P115" s="44"/>
      <c r="Q115" s="45"/>
      <c r="R115" s="46"/>
      <c r="S115" s="46"/>
      <c r="T115" s="46"/>
      <c r="U115" s="44" t="s">
        <v>96</v>
      </c>
      <c r="V115" s="46"/>
      <c r="W115" s="44"/>
      <c r="X115" s="44"/>
      <c r="Y115" s="44"/>
      <c r="Z115" s="44"/>
      <c r="AA115" s="44"/>
      <c r="AB115" s="42"/>
      <c r="AC115" s="47" t="s">
        <v>97</v>
      </c>
      <c r="AD115" s="48"/>
      <c r="AE115" s="43"/>
      <c r="AF115" s="43"/>
      <c r="AG115" s="43"/>
      <c r="AH115" s="43"/>
      <c r="AI115" s="55"/>
      <c r="AJ115" s="52"/>
      <c r="AT115" s="52"/>
      <c r="AU115" s="59"/>
      <c r="AV115" s="58"/>
      <c r="AW115" s="58"/>
      <c r="AX115" s="54" t="s">
        <v>69</v>
      </c>
      <c r="AY115" s="43" t="s">
        <v>70</v>
      </c>
      <c r="AZ115" s="43" t="s">
        <v>70</v>
      </c>
      <c r="BA115" s="43" t="s">
        <v>71</v>
      </c>
      <c r="BB115" s="43" t="s">
        <v>69</v>
      </c>
      <c r="BC115" s="51">
        <v>31</v>
      </c>
      <c r="BD115" s="43" t="s">
        <v>70</v>
      </c>
      <c r="BE115" s="9">
        <f t="shared" si="5"/>
        <v>106</v>
      </c>
      <c r="BF115" s="9" t="str">
        <f t="shared" si="6"/>
        <v>..</v>
      </c>
    </row>
    <row r="116" spans="1:58" ht="18" customHeight="1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1" t="s">
        <v>93</v>
      </c>
      <c r="N116" s="44"/>
      <c r="O116" s="44"/>
      <c r="P116" s="44"/>
      <c r="Q116" s="45"/>
      <c r="R116" s="46"/>
      <c r="S116" s="46"/>
      <c r="T116" s="46"/>
      <c r="U116" s="44" t="s">
        <v>96</v>
      </c>
      <c r="V116" s="46"/>
      <c r="W116" s="44"/>
      <c r="X116" s="44"/>
      <c r="Y116" s="44"/>
      <c r="Z116" s="44"/>
      <c r="AA116" s="44"/>
      <c r="AB116" s="42"/>
      <c r="AC116" s="47" t="s">
        <v>97</v>
      </c>
      <c r="AD116" s="48"/>
      <c r="AE116" s="43"/>
      <c r="AF116" s="43"/>
      <c r="AG116" s="43"/>
      <c r="AH116" s="43"/>
      <c r="AI116" s="55"/>
      <c r="AJ116" s="52"/>
      <c r="AT116" s="52"/>
      <c r="AU116" s="59"/>
      <c r="AV116" s="58"/>
      <c r="AW116" s="58"/>
      <c r="AX116" s="54" t="s">
        <v>69</v>
      </c>
      <c r="AY116" s="43" t="s">
        <v>70</v>
      </c>
      <c r="AZ116" s="43" t="s">
        <v>70</v>
      </c>
      <c r="BA116" s="43" t="s">
        <v>71</v>
      </c>
      <c r="BB116" s="43" t="s">
        <v>69</v>
      </c>
      <c r="BC116" s="51">
        <v>31</v>
      </c>
      <c r="BD116" s="43" t="s">
        <v>70</v>
      </c>
      <c r="BE116" s="9">
        <f t="shared" si="5"/>
        <v>107</v>
      </c>
      <c r="BF116" s="9" t="str">
        <f t="shared" si="6"/>
        <v>..</v>
      </c>
    </row>
    <row r="117" spans="1:58" ht="18" customHeight="1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1" t="s">
        <v>93</v>
      </c>
      <c r="N117" s="44"/>
      <c r="O117" s="44"/>
      <c r="P117" s="44"/>
      <c r="Q117" s="45"/>
      <c r="R117" s="46"/>
      <c r="S117" s="46"/>
      <c r="T117" s="46"/>
      <c r="U117" s="44" t="s">
        <v>96</v>
      </c>
      <c r="V117" s="46"/>
      <c r="W117" s="44"/>
      <c r="X117" s="44"/>
      <c r="Y117" s="44"/>
      <c r="Z117" s="44"/>
      <c r="AA117" s="44"/>
      <c r="AB117" s="42"/>
      <c r="AC117" s="47" t="s">
        <v>97</v>
      </c>
      <c r="AD117" s="48"/>
      <c r="AE117" s="43"/>
      <c r="AF117" s="43"/>
      <c r="AG117" s="43"/>
      <c r="AH117" s="43"/>
      <c r="AI117" s="55"/>
      <c r="AJ117" s="52"/>
      <c r="AT117" s="52"/>
      <c r="AU117" s="59"/>
      <c r="AV117" s="58"/>
      <c r="AW117" s="58"/>
      <c r="AX117" s="54" t="s">
        <v>69</v>
      </c>
      <c r="AY117" s="43" t="s">
        <v>70</v>
      </c>
      <c r="AZ117" s="43" t="s">
        <v>70</v>
      </c>
      <c r="BA117" s="43" t="s">
        <v>71</v>
      </c>
      <c r="BB117" s="43" t="s">
        <v>69</v>
      </c>
      <c r="BC117" s="51">
        <v>31</v>
      </c>
      <c r="BD117" s="43" t="s">
        <v>70</v>
      </c>
      <c r="BE117" s="9">
        <f t="shared" si="5"/>
        <v>108</v>
      </c>
      <c r="BF117" s="9" t="str">
        <f t="shared" si="6"/>
        <v>..</v>
      </c>
    </row>
    <row r="118" spans="1:58" ht="18" customHeight="1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1" t="s">
        <v>93</v>
      </c>
      <c r="N118" s="44"/>
      <c r="O118" s="44"/>
      <c r="P118" s="44"/>
      <c r="Q118" s="45"/>
      <c r="R118" s="46"/>
      <c r="S118" s="46"/>
      <c r="T118" s="46"/>
      <c r="U118" s="44" t="s">
        <v>96</v>
      </c>
      <c r="V118" s="46"/>
      <c r="W118" s="44"/>
      <c r="X118" s="44"/>
      <c r="Y118" s="44"/>
      <c r="Z118" s="44"/>
      <c r="AA118" s="44"/>
      <c r="AB118" s="42"/>
      <c r="AC118" s="47" t="s">
        <v>97</v>
      </c>
      <c r="AD118" s="48"/>
      <c r="AE118" s="43"/>
      <c r="AF118" s="43"/>
      <c r="AG118" s="43"/>
      <c r="AH118" s="43"/>
      <c r="AI118" s="55"/>
      <c r="AJ118" s="52"/>
      <c r="AT118" s="52"/>
      <c r="AU118" s="59"/>
      <c r="AV118" s="58"/>
      <c r="AW118" s="58"/>
      <c r="AX118" s="54" t="s">
        <v>69</v>
      </c>
      <c r="AY118" s="43" t="s">
        <v>70</v>
      </c>
      <c r="AZ118" s="43" t="s">
        <v>70</v>
      </c>
      <c r="BA118" s="43" t="s">
        <v>71</v>
      </c>
      <c r="BB118" s="43" t="s">
        <v>69</v>
      </c>
      <c r="BC118" s="51">
        <v>31</v>
      </c>
      <c r="BD118" s="43" t="s">
        <v>70</v>
      </c>
      <c r="BE118" s="9">
        <f t="shared" si="5"/>
        <v>109</v>
      </c>
      <c r="BF118" s="9" t="str">
        <f t="shared" si="6"/>
        <v>..</v>
      </c>
    </row>
    <row r="119" spans="1:58" ht="18" customHeight="1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1" t="s">
        <v>93</v>
      </c>
      <c r="N119" s="44"/>
      <c r="O119" s="44"/>
      <c r="P119" s="44"/>
      <c r="Q119" s="45"/>
      <c r="R119" s="46"/>
      <c r="S119" s="46"/>
      <c r="T119" s="46"/>
      <c r="U119" s="44" t="s">
        <v>96</v>
      </c>
      <c r="V119" s="46"/>
      <c r="W119" s="44"/>
      <c r="X119" s="44"/>
      <c r="Y119" s="44"/>
      <c r="Z119" s="44"/>
      <c r="AA119" s="44"/>
      <c r="AB119" s="42"/>
      <c r="AC119" s="47" t="s">
        <v>97</v>
      </c>
      <c r="AD119" s="48"/>
      <c r="AE119" s="43"/>
      <c r="AF119" s="43"/>
      <c r="AG119" s="43"/>
      <c r="AH119" s="43"/>
      <c r="AI119" s="55"/>
      <c r="AJ119" s="52"/>
      <c r="AT119" s="52"/>
      <c r="AU119" s="59"/>
      <c r="AV119" s="58"/>
      <c r="AW119" s="58"/>
      <c r="AX119" s="54" t="s">
        <v>69</v>
      </c>
      <c r="AY119" s="43" t="s">
        <v>70</v>
      </c>
      <c r="AZ119" s="43" t="s">
        <v>70</v>
      </c>
      <c r="BA119" s="43" t="s">
        <v>71</v>
      </c>
      <c r="BB119" s="43" t="s">
        <v>69</v>
      </c>
      <c r="BC119" s="51">
        <v>31</v>
      </c>
      <c r="BD119" s="43" t="s">
        <v>70</v>
      </c>
      <c r="BE119" s="9">
        <f t="shared" si="5"/>
        <v>110</v>
      </c>
      <c r="BF119" s="9" t="str">
        <f t="shared" si="6"/>
        <v>..</v>
      </c>
    </row>
    <row r="120" spans="1:58" ht="18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1" t="s">
        <v>93</v>
      </c>
      <c r="N120" s="44"/>
      <c r="O120" s="44"/>
      <c r="P120" s="44"/>
      <c r="Q120" s="45"/>
      <c r="R120" s="46"/>
      <c r="S120" s="46"/>
      <c r="T120" s="46"/>
      <c r="U120" s="44" t="s">
        <v>96</v>
      </c>
      <c r="V120" s="46"/>
      <c r="W120" s="44"/>
      <c r="X120" s="44"/>
      <c r="Y120" s="44"/>
      <c r="Z120" s="44"/>
      <c r="AA120" s="44"/>
      <c r="AB120" s="42"/>
      <c r="AC120" s="47" t="s">
        <v>97</v>
      </c>
      <c r="AD120" s="48"/>
      <c r="AE120" s="43"/>
      <c r="AF120" s="43"/>
      <c r="AG120" s="43"/>
      <c r="AH120" s="43"/>
      <c r="AI120" s="55"/>
      <c r="AJ120" s="52"/>
      <c r="AT120" s="52"/>
      <c r="AU120" s="59"/>
      <c r="AV120" s="58"/>
      <c r="AW120" s="58"/>
      <c r="AX120" s="54" t="s">
        <v>69</v>
      </c>
      <c r="AY120" s="43" t="s">
        <v>70</v>
      </c>
      <c r="AZ120" s="43" t="s">
        <v>70</v>
      </c>
      <c r="BA120" s="43" t="s">
        <v>71</v>
      </c>
      <c r="BB120" s="43" t="s">
        <v>69</v>
      </c>
      <c r="BC120" s="51">
        <v>31</v>
      </c>
      <c r="BD120" s="43" t="s">
        <v>70</v>
      </c>
      <c r="BE120" s="9">
        <f t="shared" si="5"/>
        <v>111</v>
      </c>
      <c r="BF120" s="9" t="str">
        <f t="shared" si="6"/>
        <v>..</v>
      </c>
    </row>
    <row r="121" spans="1:58" ht="18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1" t="s">
        <v>93</v>
      </c>
      <c r="N121" s="44"/>
      <c r="O121" s="44"/>
      <c r="P121" s="44"/>
      <c r="Q121" s="45"/>
      <c r="R121" s="46"/>
      <c r="S121" s="46"/>
      <c r="T121" s="46"/>
      <c r="U121" s="44" t="s">
        <v>96</v>
      </c>
      <c r="V121" s="46"/>
      <c r="W121" s="44"/>
      <c r="X121" s="44"/>
      <c r="Y121" s="44"/>
      <c r="Z121" s="44"/>
      <c r="AA121" s="44"/>
      <c r="AB121" s="42"/>
      <c r="AC121" s="47" t="s">
        <v>97</v>
      </c>
      <c r="AD121" s="48"/>
      <c r="AE121" s="43"/>
      <c r="AF121" s="43"/>
      <c r="AG121" s="43"/>
      <c r="AH121" s="43"/>
      <c r="AI121" s="55"/>
      <c r="AJ121" s="52"/>
      <c r="AT121" s="52"/>
      <c r="AU121" s="59"/>
      <c r="AV121" s="58"/>
      <c r="AW121" s="58"/>
      <c r="AX121" s="54" t="s">
        <v>69</v>
      </c>
      <c r="AY121" s="43" t="s">
        <v>70</v>
      </c>
      <c r="AZ121" s="43" t="s">
        <v>70</v>
      </c>
      <c r="BA121" s="43" t="s">
        <v>71</v>
      </c>
      <c r="BB121" s="43" t="s">
        <v>69</v>
      </c>
      <c r="BC121" s="51">
        <v>31</v>
      </c>
      <c r="BD121" s="43" t="s">
        <v>70</v>
      </c>
      <c r="BE121" s="9">
        <f t="shared" si="5"/>
        <v>112</v>
      </c>
      <c r="BF121" s="9" t="str">
        <f t="shared" si="6"/>
        <v>..</v>
      </c>
    </row>
    <row r="122" spans="1:58" ht="18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1" t="s">
        <v>93</v>
      </c>
      <c r="N122" s="44"/>
      <c r="O122" s="44"/>
      <c r="P122" s="44"/>
      <c r="Q122" s="45"/>
      <c r="R122" s="46"/>
      <c r="S122" s="46"/>
      <c r="T122" s="46"/>
      <c r="U122" s="44" t="s">
        <v>96</v>
      </c>
      <c r="V122" s="46"/>
      <c r="W122" s="44"/>
      <c r="X122" s="44"/>
      <c r="Y122" s="44"/>
      <c r="Z122" s="44"/>
      <c r="AA122" s="44"/>
      <c r="AB122" s="42"/>
      <c r="AC122" s="47" t="s">
        <v>97</v>
      </c>
      <c r="AD122" s="48"/>
      <c r="AE122" s="43"/>
      <c r="AF122" s="43"/>
      <c r="AG122" s="43"/>
      <c r="AH122" s="43"/>
      <c r="AI122" s="55"/>
      <c r="AJ122" s="52"/>
      <c r="AT122" s="52"/>
      <c r="AU122" s="59"/>
      <c r="AV122" s="58"/>
      <c r="AW122" s="58"/>
      <c r="AX122" s="54" t="s">
        <v>69</v>
      </c>
      <c r="AY122" s="43" t="s">
        <v>70</v>
      </c>
      <c r="AZ122" s="43" t="s">
        <v>70</v>
      </c>
      <c r="BA122" s="43" t="s">
        <v>71</v>
      </c>
      <c r="BB122" s="43" t="s">
        <v>69</v>
      </c>
      <c r="BC122" s="51">
        <v>31</v>
      </c>
      <c r="BD122" s="43" t="s">
        <v>70</v>
      </c>
      <c r="BE122" s="9">
        <f t="shared" si="5"/>
        <v>113</v>
      </c>
      <c r="BF122" s="9" t="str">
        <f t="shared" si="6"/>
        <v>..</v>
      </c>
    </row>
    <row r="123" spans="1:58" ht="18" customHeight="1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1" t="s">
        <v>93</v>
      </c>
      <c r="N123" s="44"/>
      <c r="O123" s="44"/>
      <c r="P123" s="44"/>
      <c r="Q123" s="45"/>
      <c r="R123" s="46"/>
      <c r="S123" s="46"/>
      <c r="T123" s="46"/>
      <c r="U123" s="44" t="s">
        <v>96</v>
      </c>
      <c r="V123" s="46"/>
      <c r="W123" s="44"/>
      <c r="X123" s="44"/>
      <c r="Y123" s="44"/>
      <c r="Z123" s="44"/>
      <c r="AA123" s="44"/>
      <c r="AB123" s="42"/>
      <c r="AC123" s="47" t="s">
        <v>97</v>
      </c>
      <c r="AD123" s="48"/>
      <c r="AE123" s="43"/>
      <c r="AF123" s="43"/>
      <c r="AG123" s="43"/>
      <c r="AH123" s="43"/>
      <c r="AI123" s="55"/>
      <c r="AJ123" s="52"/>
      <c r="AT123" s="52"/>
      <c r="AU123" s="59"/>
      <c r="AV123" s="58"/>
      <c r="AW123" s="58"/>
      <c r="AX123" s="54" t="s">
        <v>69</v>
      </c>
      <c r="AY123" s="43" t="s">
        <v>70</v>
      </c>
      <c r="AZ123" s="43" t="s">
        <v>70</v>
      </c>
      <c r="BA123" s="43" t="s">
        <v>71</v>
      </c>
      <c r="BB123" s="43" t="s">
        <v>69</v>
      </c>
      <c r="BC123" s="51">
        <v>31</v>
      </c>
      <c r="BD123" s="43" t="s">
        <v>70</v>
      </c>
      <c r="BE123" s="9">
        <f t="shared" si="5"/>
        <v>114</v>
      </c>
      <c r="BF123" s="9" t="str">
        <f t="shared" si="6"/>
        <v>..</v>
      </c>
    </row>
    <row r="124" spans="1:58" ht="18" customHeight="1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1" t="s">
        <v>93</v>
      </c>
      <c r="N124" s="44"/>
      <c r="O124" s="44"/>
      <c r="P124" s="44"/>
      <c r="Q124" s="45"/>
      <c r="R124" s="46"/>
      <c r="S124" s="46"/>
      <c r="T124" s="46"/>
      <c r="U124" s="44" t="s">
        <v>96</v>
      </c>
      <c r="V124" s="46"/>
      <c r="W124" s="44"/>
      <c r="X124" s="44"/>
      <c r="Y124" s="44"/>
      <c r="Z124" s="44"/>
      <c r="AA124" s="44"/>
      <c r="AB124" s="42"/>
      <c r="AC124" s="47" t="s">
        <v>97</v>
      </c>
      <c r="AD124" s="48"/>
      <c r="AE124" s="43"/>
      <c r="AF124" s="43"/>
      <c r="AG124" s="43"/>
      <c r="AH124" s="43"/>
      <c r="AI124" s="55"/>
      <c r="AJ124" s="52"/>
      <c r="AT124" s="52"/>
      <c r="AU124" s="59"/>
      <c r="AV124" s="58"/>
      <c r="AW124" s="58"/>
      <c r="AX124" s="54" t="s">
        <v>69</v>
      </c>
      <c r="AY124" s="43" t="s">
        <v>70</v>
      </c>
      <c r="AZ124" s="43" t="s">
        <v>70</v>
      </c>
      <c r="BA124" s="43" t="s">
        <v>71</v>
      </c>
      <c r="BB124" s="43" t="s">
        <v>69</v>
      </c>
      <c r="BC124" s="51">
        <v>31</v>
      </c>
      <c r="BD124" s="43" t="s">
        <v>70</v>
      </c>
      <c r="BE124" s="9">
        <f t="shared" si="5"/>
        <v>115</v>
      </c>
      <c r="BF124" s="9" t="str">
        <f t="shared" ref="BF124:BF186" si="7">CONCATENATE(AB124,".",AD124,".",AJ124)</f>
        <v>..</v>
      </c>
    </row>
    <row r="125" spans="1:58" ht="18" customHeight="1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1" t="s">
        <v>93</v>
      </c>
      <c r="N125" s="44"/>
      <c r="O125" s="44"/>
      <c r="P125" s="44"/>
      <c r="Q125" s="45"/>
      <c r="R125" s="46"/>
      <c r="S125" s="46"/>
      <c r="T125" s="46"/>
      <c r="U125" s="44" t="s">
        <v>96</v>
      </c>
      <c r="V125" s="46"/>
      <c r="W125" s="44"/>
      <c r="X125" s="44"/>
      <c r="Y125" s="44"/>
      <c r="Z125" s="44"/>
      <c r="AA125" s="44"/>
      <c r="AB125" s="42"/>
      <c r="AC125" s="47" t="s">
        <v>97</v>
      </c>
      <c r="AD125" s="48"/>
      <c r="AE125" s="43"/>
      <c r="AF125" s="43"/>
      <c r="AG125" s="43"/>
      <c r="AH125" s="43"/>
      <c r="AI125" s="55"/>
      <c r="AJ125" s="52"/>
      <c r="AT125" s="52"/>
      <c r="AU125" s="59"/>
      <c r="AV125" s="58"/>
      <c r="AW125" s="58"/>
      <c r="AX125" s="54" t="s">
        <v>69</v>
      </c>
      <c r="AY125" s="43" t="s">
        <v>70</v>
      </c>
      <c r="AZ125" s="43" t="s">
        <v>70</v>
      </c>
      <c r="BA125" s="43" t="s">
        <v>71</v>
      </c>
      <c r="BB125" s="43" t="s">
        <v>69</v>
      </c>
      <c r="BC125" s="51">
        <v>31</v>
      </c>
      <c r="BD125" s="43" t="s">
        <v>70</v>
      </c>
      <c r="BE125" s="9">
        <f t="shared" si="5"/>
        <v>116</v>
      </c>
      <c r="BF125" s="9" t="str">
        <f t="shared" si="7"/>
        <v>..</v>
      </c>
    </row>
    <row r="126" spans="1:58" ht="18" customHeight="1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1" t="s">
        <v>93</v>
      </c>
      <c r="N126" s="44"/>
      <c r="O126" s="44"/>
      <c r="P126" s="44"/>
      <c r="Q126" s="45"/>
      <c r="R126" s="46"/>
      <c r="S126" s="46"/>
      <c r="T126" s="46"/>
      <c r="U126" s="44" t="s">
        <v>96</v>
      </c>
      <c r="V126" s="46"/>
      <c r="W126" s="44"/>
      <c r="X126" s="44"/>
      <c r="Y126" s="44"/>
      <c r="Z126" s="44"/>
      <c r="AA126" s="44"/>
      <c r="AB126" s="42"/>
      <c r="AC126" s="47" t="s">
        <v>97</v>
      </c>
      <c r="AD126" s="48"/>
      <c r="AE126" s="43"/>
      <c r="AF126" s="43"/>
      <c r="AG126" s="43"/>
      <c r="AH126" s="43"/>
      <c r="AI126" s="55"/>
      <c r="AJ126" s="52"/>
      <c r="AT126" s="52"/>
      <c r="AU126" s="59"/>
      <c r="AV126" s="58"/>
      <c r="AW126" s="58"/>
      <c r="AX126" s="54" t="s">
        <v>69</v>
      </c>
      <c r="AY126" s="43" t="s">
        <v>70</v>
      </c>
      <c r="AZ126" s="43" t="s">
        <v>70</v>
      </c>
      <c r="BA126" s="43" t="s">
        <v>71</v>
      </c>
      <c r="BB126" s="43" t="s">
        <v>69</v>
      </c>
      <c r="BC126" s="51">
        <v>31</v>
      </c>
      <c r="BD126" s="43" t="s">
        <v>70</v>
      </c>
      <c r="BE126" s="9">
        <f t="shared" si="5"/>
        <v>117</v>
      </c>
      <c r="BF126" s="9" t="str">
        <f t="shared" si="7"/>
        <v>..</v>
      </c>
    </row>
    <row r="127" spans="1:58" ht="18" customHeight="1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1" t="s">
        <v>93</v>
      </c>
      <c r="N127" s="44"/>
      <c r="O127" s="44"/>
      <c r="P127" s="44"/>
      <c r="Q127" s="45"/>
      <c r="R127" s="46"/>
      <c r="S127" s="46"/>
      <c r="T127" s="46"/>
      <c r="U127" s="44" t="s">
        <v>96</v>
      </c>
      <c r="V127" s="46"/>
      <c r="W127" s="44"/>
      <c r="X127" s="44"/>
      <c r="Y127" s="44"/>
      <c r="Z127" s="44"/>
      <c r="AA127" s="44"/>
      <c r="AB127" s="42"/>
      <c r="AC127" s="47" t="s">
        <v>97</v>
      </c>
      <c r="AD127" s="48"/>
      <c r="AE127" s="43"/>
      <c r="AF127" s="43"/>
      <c r="AG127" s="43"/>
      <c r="AH127" s="43"/>
      <c r="AI127" s="55"/>
      <c r="AJ127" s="52"/>
      <c r="AT127" s="52"/>
      <c r="AU127" s="59"/>
      <c r="AV127" s="58"/>
      <c r="AW127" s="58"/>
      <c r="AX127" s="54" t="s">
        <v>69</v>
      </c>
      <c r="AY127" s="43" t="s">
        <v>70</v>
      </c>
      <c r="AZ127" s="43" t="s">
        <v>70</v>
      </c>
      <c r="BA127" s="43" t="s">
        <v>71</v>
      </c>
      <c r="BB127" s="43" t="s">
        <v>69</v>
      </c>
      <c r="BC127" s="51">
        <v>31</v>
      </c>
      <c r="BD127" s="43" t="s">
        <v>70</v>
      </c>
      <c r="BE127" s="9">
        <f t="shared" si="5"/>
        <v>118</v>
      </c>
      <c r="BF127" s="9" t="str">
        <f t="shared" si="7"/>
        <v>..</v>
      </c>
    </row>
    <row r="128" spans="1:58" ht="18" customHeight="1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1" t="s">
        <v>93</v>
      </c>
      <c r="N128" s="44"/>
      <c r="O128" s="44"/>
      <c r="P128" s="44"/>
      <c r="Q128" s="45"/>
      <c r="R128" s="46"/>
      <c r="S128" s="46"/>
      <c r="T128" s="46"/>
      <c r="U128" s="44" t="s">
        <v>96</v>
      </c>
      <c r="V128" s="46"/>
      <c r="W128" s="44"/>
      <c r="X128" s="44"/>
      <c r="Y128" s="44"/>
      <c r="Z128" s="44"/>
      <c r="AA128" s="44"/>
      <c r="AB128" s="42"/>
      <c r="AC128" s="47" t="s">
        <v>97</v>
      </c>
      <c r="AD128" s="48"/>
      <c r="AE128" s="43"/>
      <c r="AF128" s="43"/>
      <c r="AG128" s="43"/>
      <c r="AH128" s="43"/>
      <c r="AI128" s="55"/>
      <c r="AJ128" s="52"/>
      <c r="AT128" s="52"/>
      <c r="AU128" s="59"/>
      <c r="AV128" s="58"/>
      <c r="AW128" s="58"/>
      <c r="AX128" s="54" t="s">
        <v>69</v>
      </c>
      <c r="AY128" s="43" t="s">
        <v>70</v>
      </c>
      <c r="AZ128" s="43" t="s">
        <v>70</v>
      </c>
      <c r="BA128" s="43" t="s">
        <v>71</v>
      </c>
      <c r="BB128" s="43" t="s">
        <v>69</v>
      </c>
      <c r="BC128" s="51">
        <v>31</v>
      </c>
      <c r="BD128" s="43" t="s">
        <v>70</v>
      </c>
      <c r="BE128" s="9">
        <f t="shared" si="5"/>
        <v>119</v>
      </c>
      <c r="BF128" s="9" t="str">
        <f t="shared" si="7"/>
        <v>..</v>
      </c>
    </row>
    <row r="129" spans="1:58" ht="18" customHeight="1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1" t="s">
        <v>93</v>
      </c>
      <c r="N129" s="44"/>
      <c r="O129" s="44"/>
      <c r="P129" s="44"/>
      <c r="Q129" s="45"/>
      <c r="R129" s="46"/>
      <c r="S129" s="46"/>
      <c r="T129" s="46"/>
      <c r="U129" s="44" t="s">
        <v>96</v>
      </c>
      <c r="V129" s="46"/>
      <c r="W129" s="44"/>
      <c r="X129" s="44"/>
      <c r="Y129" s="44"/>
      <c r="Z129" s="44"/>
      <c r="AA129" s="44"/>
      <c r="AB129" s="42"/>
      <c r="AC129" s="47" t="s">
        <v>97</v>
      </c>
      <c r="AD129" s="48"/>
      <c r="AE129" s="43"/>
      <c r="AF129" s="43"/>
      <c r="AG129" s="43"/>
      <c r="AH129" s="43"/>
      <c r="AI129" s="55"/>
      <c r="AJ129" s="52"/>
      <c r="AT129" s="52"/>
      <c r="AU129" s="59"/>
      <c r="AV129" s="58"/>
      <c r="AW129" s="58"/>
      <c r="AX129" s="54" t="s">
        <v>69</v>
      </c>
      <c r="AY129" s="43" t="s">
        <v>70</v>
      </c>
      <c r="AZ129" s="43" t="s">
        <v>70</v>
      </c>
      <c r="BA129" s="43" t="s">
        <v>71</v>
      </c>
      <c r="BB129" s="43" t="s">
        <v>69</v>
      </c>
      <c r="BC129" s="51">
        <v>31</v>
      </c>
      <c r="BD129" s="43" t="s">
        <v>70</v>
      </c>
      <c r="BE129" s="9">
        <f t="shared" si="5"/>
        <v>120</v>
      </c>
      <c r="BF129" s="9" t="str">
        <f t="shared" si="7"/>
        <v>..</v>
      </c>
    </row>
    <row r="130" spans="1:58" ht="18" customHeight="1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1" t="s">
        <v>93</v>
      </c>
      <c r="N130" s="44"/>
      <c r="O130" s="44"/>
      <c r="P130" s="44"/>
      <c r="Q130" s="45"/>
      <c r="R130" s="46"/>
      <c r="S130" s="46"/>
      <c r="T130" s="46"/>
      <c r="U130" s="44" t="s">
        <v>96</v>
      </c>
      <c r="V130" s="46"/>
      <c r="W130" s="44"/>
      <c r="X130" s="44"/>
      <c r="Y130" s="44"/>
      <c r="Z130" s="44"/>
      <c r="AA130" s="44"/>
      <c r="AB130" s="42"/>
      <c r="AC130" s="47" t="s">
        <v>97</v>
      </c>
      <c r="AD130" s="48"/>
      <c r="AE130" s="43"/>
      <c r="AF130" s="43"/>
      <c r="AG130" s="43"/>
      <c r="AH130" s="43"/>
      <c r="AI130" s="55"/>
      <c r="AJ130" s="52"/>
      <c r="AT130" s="52"/>
      <c r="AU130" s="59"/>
      <c r="AV130" s="58"/>
      <c r="AW130" s="58"/>
      <c r="AX130" s="54" t="s">
        <v>69</v>
      </c>
      <c r="AY130" s="43" t="s">
        <v>70</v>
      </c>
      <c r="AZ130" s="43" t="s">
        <v>70</v>
      </c>
      <c r="BA130" s="43" t="s">
        <v>71</v>
      </c>
      <c r="BB130" s="43" t="s">
        <v>69</v>
      </c>
      <c r="BC130" s="51">
        <v>31</v>
      </c>
      <c r="BD130" s="43" t="s">
        <v>70</v>
      </c>
      <c r="BE130" s="9">
        <f t="shared" si="5"/>
        <v>121</v>
      </c>
      <c r="BF130" s="9" t="str">
        <f t="shared" si="7"/>
        <v>..</v>
      </c>
    </row>
    <row r="131" spans="1:58" ht="18" customHeight="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1" t="s">
        <v>93</v>
      </c>
      <c r="N131" s="44"/>
      <c r="O131" s="44"/>
      <c r="P131" s="44"/>
      <c r="Q131" s="45"/>
      <c r="R131" s="46"/>
      <c r="S131" s="46"/>
      <c r="T131" s="46"/>
      <c r="U131" s="44" t="s">
        <v>96</v>
      </c>
      <c r="V131" s="46"/>
      <c r="W131" s="44"/>
      <c r="X131" s="44"/>
      <c r="Y131" s="44"/>
      <c r="Z131" s="44"/>
      <c r="AA131" s="44"/>
      <c r="AB131" s="42"/>
      <c r="AC131" s="47" t="s">
        <v>97</v>
      </c>
      <c r="AD131" s="48"/>
      <c r="AE131" s="43"/>
      <c r="AF131" s="43"/>
      <c r="AG131" s="43"/>
      <c r="AH131" s="43"/>
      <c r="AI131" s="55"/>
      <c r="AJ131" s="52"/>
      <c r="AT131" s="52"/>
      <c r="AU131" s="59"/>
      <c r="AV131" s="58"/>
      <c r="AW131" s="58"/>
      <c r="AX131" s="54" t="s">
        <v>69</v>
      </c>
      <c r="AY131" s="43" t="s">
        <v>70</v>
      </c>
      <c r="AZ131" s="43" t="s">
        <v>70</v>
      </c>
      <c r="BA131" s="43" t="s">
        <v>71</v>
      </c>
      <c r="BB131" s="43" t="s">
        <v>69</v>
      </c>
      <c r="BC131" s="51">
        <v>31</v>
      </c>
      <c r="BD131" s="43" t="s">
        <v>70</v>
      </c>
      <c r="BE131" s="9">
        <f t="shared" si="5"/>
        <v>122</v>
      </c>
      <c r="BF131" s="9" t="str">
        <f t="shared" si="7"/>
        <v>..</v>
      </c>
    </row>
    <row r="132" spans="1:58" ht="18" customHeight="1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1" t="s">
        <v>93</v>
      </c>
      <c r="N132" s="44"/>
      <c r="O132" s="44"/>
      <c r="P132" s="44"/>
      <c r="Q132" s="45"/>
      <c r="R132" s="46"/>
      <c r="S132" s="46"/>
      <c r="T132" s="46"/>
      <c r="U132" s="44" t="s">
        <v>96</v>
      </c>
      <c r="V132" s="46"/>
      <c r="W132" s="44"/>
      <c r="X132" s="44"/>
      <c r="Y132" s="44"/>
      <c r="Z132" s="44"/>
      <c r="AA132" s="44"/>
      <c r="AB132" s="42"/>
      <c r="AC132" s="47" t="s">
        <v>97</v>
      </c>
      <c r="AD132" s="48"/>
      <c r="AE132" s="43"/>
      <c r="AF132" s="43"/>
      <c r="AG132" s="43"/>
      <c r="AH132" s="43"/>
      <c r="AI132" s="55"/>
      <c r="AJ132" s="52"/>
      <c r="AT132" s="52"/>
      <c r="AU132" s="59"/>
      <c r="AV132" s="58"/>
      <c r="AW132" s="58"/>
      <c r="AX132" s="54" t="s">
        <v>69</v>
      </c>
      <c r="AY132" s="43" t="s">
        <v>70</v>
      </c>
      <c r="AZ132" s="43" t="s">
        <v>70</v>
      </c>
      <c r="BA132" s="43" t="s">
        <v>71</v>
      </c>
      <c r="BB132" s="43" t="s">
        <v>69</v>
      </c>
      <c r="BC132" s="51">
        <v>31</v>
      </c>
      <c r="BD132" s="43" t="s">
        <v>70</v>
      </c>
      <c r="BE132" s="9">
        <f t="shared" si="5"/>
        <v>123</v>
      </c>
      <c r="BF132" s="9" t="str">
        <f t="shared" si="7"/>
        <v>..</v>
      </c>
    </row>
    <row r="133" spans="1:58" ht="18" customHeight="1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1" t="s">
        <v>93</v>
      </c>
      <c r="N133" s="44"/>
      <c r="O133" s="44"/>
      <c r="P133" s="44"/>
      <c r="Q133" s="45"/>
      <c r="R133" s="46"/>
      <c r="S133" s="46"/>
      <c r="T133" s="46"/>
      <c r="U133" s="44" t="s">
        <v>96</v>
      </c>
      <c r="V133" s="46"/>
      <c r="W133" s="44"/>
      <c r="X133" s="44"/>
      <c r="Y133" s="44"/>
      <c r="Z133" s="44"/>
      <c r="AA133" s="44"/>
      <c r="AB133" s="42"/>
      <c r="AC133" s="47" t="s">
        <v>97</v>
      </c>
      <c r="AD133" s="48"/>
      <c r="AE133" s="43"/>
      <c r="AF133" s="43"/>
      <c r="AG133" s="43"/>
      <c r="AH133" s="43"/>
      <c r="AI133" s="55"/>
      <c r="AJ133" s="52"/>
      <c r="AT133" s="52"/>
      <c r="AU133" s="59"/>
      <c r="AV133" s="58"/>
      <c r="AW133" s="58"/>
      <c r="AX133" s="54" t="s">
        <v>69</v>
      </c>
      <c r="AY133" s="43" t="s">
        <v>70</v>
      </c>
      <c r="AZ133" s="43" t="s">
        <v>70</v>
      </c>
      <c r="BA133" s="43" t="s">
        <v>71</v>
      </c>
      <c r="BB133" s="43" t="s">
        <v>69</v>
      </c>
      <c r="BC133" s="51">
        <v>31</v>
      </c>
      <c r="BD133" s="43" t="s">
        <v>70</v>
      </c>
      <c r="BE133" s="9">
        <f t="shared" si="5"/>
        <v>124</v>
      </c>
      <c r="BF133" s="9" t="str">
        <f t="shared" si="7"/>
        <v>..</v>
      </c>
    </row>
    <row r="134" spans="1:58" ht="18" customHeight="1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1" t="s">
        <v>93</v>
      </c>
      <c r="N134" s="44"/>
      <c r="O134" s="44"/>
      <c r="P134" s="44"/>
      <c r="Q134" s="45"/>
      <c r="R134" s="46"/>
      <c r="S134" s="46"/>
      <c r="T134" s="46"/>
      <c r="U134" s="44" t="s">
        <v>96</v>
      </c>
      <c r="V134" s="46"/>
      <c r="W134" s="44"/>
      <c r="X134" s="44"/>
      <c r="Y134" s="44"/>
      <c r="Z134" s="44"/>
      <c r="AA134" s="44"/>
      <c r="AB134" s="42"/>
      <c r="AC134" s="47" t="s">
        <v>97</v>
      </c>
      <c r="AD134" s="48"/>
      <c r="AE134" s="43"/>
      <c r="AF134" s="43"/>
      <c r="AG134" s="43"/>
      <c r="AH134" s="43"/>
      <c r="AI134" s="55"/>
      <c r="AJ134" s="52"/>
      <c r="AT134" s="52"/>
      <c r="AU134" s="59"/>
      <c r="AV134" s="58"/>
      <c r="AW134" s="58"/>
      <c r="AX134" s="54" t="s">
        <v>69</v>
      </c>
      <c r="AY134" s="43" t="s">
        <v>70</v>
      </c>
      <c r="AZ134" s="43" t="s">
        <v>70</v>
      </c>
      <c r="BA134" s="43" t="s">
        <v>71</v>
      </c>
      <c r="BB134" s="43" t="s">
        <v>69</v>
      </c>
      <c r="BC134" s="51">
        <v>31</v>
      </c>
      <c r="BD134" s="43" t="s">
        <v>70</v>
      </c>
      <c r="BE134" s="9">
        <f t="shared" si="5"/>
        <v>125</v>
      </c>
      <c r="BF134" s="9" t="str">
        <f t="shared" si="7"/>
        <v>..</v>
      </c>
    </row>
    <row r="135" spans="1:58" ht="18" customHeight="1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1" t="s">
        <v>93</v>
      </c>
      <c r="N135" s="44"/>
      <c r="O135" s="44"/>
      <c r="P135" s="44"/>
      <c r="Q135" s="45"/>
      <c r="R135" s="46"/>
      <c r="S135" s="46"/>
      <c r="T135" s="46"/>
      <c r="U135" s="44" t="s">
        <v>96</v>
      </c>
      <c r="V135" s="46"/>
      <c r="W135" s="44"/>
      <c r="X135" s="44"/>
      <c r="Y135" s="44"/>
      <c r="Z135" s="44"/>
      <c r="AA135" s="44"/>
      <c r="AB135" s="42"/>
      <c r="AC135" s="47" t="s">
        <v>97</v>
      </c>
      <c r="AD135" s="48"/>
      <c r="AE135" s="43"/>
      <c r="AF135" s="43"/>
      <c r="AG135" s="43"/>
      <c r="AH135" s="43"/>
      <c r="AI135" s="55"/>
      <c r="AJ135" s="52"/>
      <c r="AT135" s="52"/>
      <c r="AU135" s="59"/>
      <c r="AV135" s="58"/>
      <c r="AW135" s="58"/>
      <c r="AX135" s="54" t="s">
        <v>69</v>
      </c>
      <c r="AY135" s="43" t="s">
        <v>70</v>
      </c>
      <c r="AZ135" s="43" t="s">
        <v>70</v>
      </c>
      <c r="BA135" s="43" t="s">
        <v>71</v>
      </c>
      <c r="BB135" s="43" t="s">
        <v>69</v>
      </c>
      <c r="BC135" s="51">
        <v>31</v>
      </c>
      <c r="BD135" s="43" t="s">
        <v>70</v>
      </c>
      <c r="BE135" s="9">
        <f t="shared" si="5"/>
        <v>126</v>
      </c>
      <c r="BF135" s="9" t="str">
        <f t="shared" si="7"/>
        <v>..</v>
      </c>
    </row>
    <row r="136" spans="1:58" ht="18" customHeight="1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1" t="s">
        <v>93</v>
      </c>
      <c r="N136" s="44"/>
      <c r="O136" s="44"/>
      <c r="P136" s="44"/>
      <c r="Q136" s="45"/>
      <c r="R136" s="46"/>
      <c r="S136" s="46"/>
      <c r="T136" s="46"/>
      <c r="U136" s="44" t="s">
        <v>96</v>
      </c>
      <c r="V136" s="46"/>
      <c r="W136" s="44"/>
      <c r="X136" s="44"/>
      <c r="Y136" s="44"/>
      <c r="Z136" s="44"/>
      <c r="AA136" s="44"/>
      <c r="AB136" s="42"/>
      <c r="AC136" s="47" t="s">
        <v>97</v>
      </c>
      <c r="AD136" s="48"/>
      <c r="AE136" s="43"/>
      <c r="AF136" s="43"/>
      <c r="AG136" s="43"/>
      <c r="AH136" s="43"/>
      <c r="AI136" s="55"/>
      <c r="AJ136" s="52"/>
      <c r="AT136" s="52"/>
      <c r="AU136" s="59"/>
      <c r="AV136" s="58"/>
      <c r="AW136" s="58"/>
      <c r="AX136" s="54" t="s">
        <v>69</v>
      </c>
      <c r="AY136" s="43" t="s">
        <v>70</v>
      </c>
      <c r="AZ136" s="43" t="s">
        <v>70</v>
      </c>
      <c r="BA136" s="43" t="s">
        <v>71</v>
      </c>
      <c r="BB136" s="43" t="s">
        <v>69</v>
      </c>
      <c r="BC136" s="51">
        <v>31</v>
      </c>
      <c r="BD136" s="43" t="s">
        <v>70</v>
      </c>
      <c r="BE136" s="9">
        <f t="shared" si="5"/>
        <v>127</v>
      </c>
      <c r="BF136" s="9" t="str">
        <f t="shared" si="7"/>
        <v>..</v>
      </c>
    </row>
    <row r="137" spans="1:58" ht="18" customHeight="1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1" t="s">
        <v>93</v>
      </c>
      <c r="N137" s="44"/>
      <c r="O137" s="44"/>
      <c r="P137" s="44"/>
      <c r="Q137" s="45"/>
      <c r="R137" s="46"/>
      <c r="S137" s="46"/>
      <c r="T137" s="46"/>
      <c r="U137" s="44" t="s">
        <v>96</v>
      </c>
      <c r="V137" s="46"/>
      <c r="W137" s="44"/>
      <c r="X137" s="44"/>
      <c r="Y137" s="44"/>
      <c r="Z137" s="44"/>
      <c r="AA137" s="44"/>
      <c r="AB137" s="42"/>
      <c r="AC137" s="47" t="s">
        <v>97</v>
      </c>
      <c r="AD137" s="48"/>
      <c r="AE137" s="43"/>
      <c r="AF137" s="43"/>
      <c r="AG137" s="43"/>
      <c r="AH137" s="43"/>
      <c r="AI137" s="55"/>
      <c r="AJ137" s="52"/>
      <c r="AT137" s="52"/>
      <c r="AU137" s="59"/>
      <c r="AV137" s="58"/>
      <c r="AW137" s="58"/>
      <c r="AX137" s="54" t="s">
        <v>69</v>
      </c>
      <c r="AY137" s="43" t="s">
        <v>70</v>
      </c>
      <c r="AZ137" s="43" t="s">
        <v>70</v>
      </c>
      <c r="BA137" s="43" t="s">
        <v>71</v>
      </c>
      <c r="BB137" s="43" t="s">
        <v>69</v>
      </c>
      <c r="BC137" s="51">
        <v>31</v>
      </c>
      <c r="BD137" s="43" t="s">
        <v>70</v>
      </c>
      <c r="BE137" s="9">
        <f t="shared" si="5"/>
        <v>128</v>
      </c>
      <c r="BF137" s="9" t="str">
        <f t="shared" si="7"/>
        <v>..</v>
      </c>
    </row>
    <row r="138" spans="1:58" ht="18" customHeight="1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1" t="s">
        <v>93</v>
      </c>
      <c r="N138" s="44"/>
      <c r="O138" s="44"/>
      <c r="P138" s="44"/>
      <c r="Q138" s="45"/>
      <c r="R138" s="46"/>
      <c r="S138" s="46"/>
      <c r="T138" s="46"/>
      <c r="U138" s="44" t="s">
        <v>96</v>
      </c>
      <c r="V138" s="46"/>
      <c r="W138" s="44"/>
      <c r="X138" s="44"/>
      <c r="Y138" s="44"/>
      <c r="Z138" s="44"/>
      <c r="AA138" s="44"/>
      <c r="AB138" s="42"/>
      <c r="AC138" s="47" t="s">
        <v>97</v>
      </c>
      <c r="AD138" s="48"/>
      <c r="AE138" s="43"/>
      <c r="AF138" s="43"/>
      <c r="AG138" s="43"/>
      <c r="AH138" s="43"/>
      <c r="AI138" s="55"/>
      <c r="AJ138" s="52"/>
      <c r="AT138" s="52"/>
      <c r="AU138" s="59"/>
      <c r="AV138" s="58"/>
      <c r="AW138" s="58"/>
      <c r="AX138" s="54" t="s">
        <v>69</v>
      </c>
      <c r="AY138" s="43" t="s">
        <v>70</v>
      </c>
      <c r="AZ138" s="43" t="s">
        <v>70</v>
      </c>
      <c r="BA138" s="43" t="s">
        <v>71</v>
      </c>
      <c r="BB138" s="43" t="s">
        <v>69</v>
      </c>
      <c r="BC138" s="51">
        <v>31</v>
      </c>
      <c r="BD138" s="43" t="s">
        <v>70</v>
      </c>
      <c r="BE138" s="9">
        <f t="shared" si="5"/>
        <v>129</v>
      </c>
      <c r="BF138" s="9" t="str">
        <f t="shared" si="7"/>
        <v>..</v>
      </c>
    </row>
    <row r="139" spans="1:58" ht="18" customHeight="1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1" t="s">
        <v>93</v>
      </c>
      <c r="N139" s="44"/>
      <c r="O139" s="44"/>
      <c r="P139" s="44"/>
      <c r="Q139" s="45"/>
      <c r="R139" s="46"/>
      <c r="S139" s="46"/>
      <c r="T139" s="46"/>
      <c r="U139" s="44" t="s">
        <v>96</v>
      </c>
      <c r="V139" s="46"/>
      <c r="W139" s="44"/>
      <c r="X139" s="44"/>
      <c r="Y139" s="44"/>
      <c r="Z139" s="44"/>
      <c r="AA139" s="44"/>
      <c r="AB139" s="42"/>
      <c r="AC139" s="47" t="s">
        <v>97</v>
      </c>
      <c r="AD139" s="48"/>
      <c r="AE139" s="43"/>
      <c r="AF139" s="43"/>
      <c r="AG139" s="43"/>
      <c r="AH139" s="43"/>
      <c r="AI139" s="55"/>
      <c r="AJ139" s="52"/>
      <c r="AT139" s="52"/>
      <c r="AU139" s="59"/>
      <c r="AV139" s="58"/>
      <c r="AW139" s="58"/>
      <c r="AX139" s="54" t="s">
        <v>69</v>
      </c>
      <c r="AY139" s="43" t="s">
        <v>70</v>
      </c>
      <c r="AZ139" s="43" t="s">
        <v>70</v>
      </c>
      <c r="BA139" s="43" t="s">
        <v>71</v>
      </c>
      <c r="BB139" s="43" t="s">
        <v>69</v>
      </c>
      <c r="BC139" s="51">
        <v>31</v>
      </c>
      <c r="BD139" s="43" t="s">
        <v>70</v>
      </c>
      <c r="BE139" s="9">
        <f t="shared" si="5"/>
        <v>130</v>
      </c>
      <c r="BF139" s="9" t="str">
        <f t="shared" si="7"/>
        <v>..</v>
      </c>
    </row>
    <row r="140" spans="1:58" ht="18" customHeight="1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1" t="s">
        <v>93</v>
      </c>
      <c r="N140" s="44"/>
      <c r="O140" s="44"/>
      <c r="P140" s="44"/>
      <c r="Q140" s="45"/>
      <c r="R140" s="46"/>
      <c r="S140" s="46"/>
      <c r="T140" s="46"/>
      <c r="U140" s="44" t="s">
        <v>96</v>
      </c>
      <c r="V140" s="46"/>
      <c r="W140" s="44"/>
      <c r="X140" s="44"/>
      <c r="Y140" s="44"/>
      <c r="Z140" s="44"/>
      <c r="AA140" s="44"/>
      <c r="AB140" s="42"/>
      <c r="AC140" s="47" t="s">
        <v>97</v>
      </c>
      <c r="AD140" s="48"/>
      <c r="AE140" s="43"/>
      <c r="AF140" s="43"/>
      <c r="AG140" s="43"/>
      <c r="AH140" s="43"/>
      <c r="AI140" s="55"/>
      <c r="AJ140" s="52"/>
      <c r="AT140" s="52"/>
      <c r="AU140" s="59"/>
      <c r="AV140" s="58"/>
      <c r="AW140" s="58"/>
      <c r="AX140" s="54" t="s">
        <v>69</v>
      </c>
      <c r="AY140" s="43" t="s">
        <v>70</v>
      </c>
      <c r="AZ140" s="43" t="s">
        <v>70</v>
      </c>
      <c r="BA140" s="43" t="s">
        <v>71</v>
      </c>
      <c r="BB140" s="43" t="s">
        <v>69</v>
      </c>
      <c r="BC140" s="51">
        <v>31</v>
      </c>
      <c r="BD140" s="43" t="s">
        <v>70</v>
      </c>
      <c r="BE140" s="9">
        <f t="shared" si="5"/>
        <v>131</v>
      </c>
      <c r="BF140" s="9" t="str">
        <f t="shared" si="7"/>
        <v>..</v>
      </c>
    </row>
    <row r="141" spans="1:58" ht="18" customHeight="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1" t="s">
        <v>93</v>
      </c>
      <c r="N141" s="44"/>
      <c r="O141" s="44"/>
      <c r="P141" s="44"/>
      <c r="Q141" s="45"/>
      <c r="R141" s="46"/>
      <c r="S141" s="46"/>
      <c r="T141" s="46"/>
      <c r="U141" s="44" t="s">
        <v>96</v>
      </c>
      <c r="V141" s="46"/>
      <c r="W141" s="44"/>
      <c r="X141" s="44"/>
      <c r="Y141" s="44"/>
      <c r="Z141" s="44"/>
      <c r="AA141" s="44"/>
      <c r="AB141" s="42"/>
      <c r="AC141" s="47" t="s">
        <v>97</v>
      </c>
      <c r="AD141" s="48"/>
      <c r="AE141" s="43"/>
      <c r="AF141" s="43"/>
      <c r="AG141" s="43"/>
      <c r="AH141" s="43"/>
      <c r="AI141" s="55"/>
      <c r="AJ141" s="52"/>
      <c r="AT141" s="52"/>
      <c r="AU141" s="59"/>
      <c r="AV141" s="58"/>
      <c r="AW141" s="58"/>
      <c r="AX141" s="54" t="s">
        <v>69</v>
      </c>
      <c r="AY141" s="43" t="s">
        <v>70</v>
      </c>
      <c r="AZ141" s="43" t="s">
        <v>70</v>
      </c>
      <c r="BA141" s="43" t="s">
        <v>71</v>
      </c>
      <c r="BB141" s="43" t="s">
        <v>69</v>
      </c>
      <c r="BC141" s="51">
        <v>31</v>
      </c>
      <c r="BD141" s="43" t="s">
        <v>70</v>
      </c>
      <c r="BE141" s="9">
        <f t="shared" si="5"/>
        <v>132</v>
      </c>
      <c r="BF141" s="9" t="str">
        <f t="shared" si="7"/>
        <v>..</v>
      </c>
    </row>
    <row r="142" spans="1:58" ht="18" customHeight="1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1" t="s">
        <v>93</v>
      </c>
      <c r="N142" s="44"/>
      <c r="O142" s="44"/>
      <c r="P142" s="44"/>
      <c r="Q142" s="45"/>
      <c r="R142" s="46"/>
      <c r="S142" s="46"/>
      <c r="T142" s="46"/>
      <c r="U142" s="44" t="s">
        <v>96</v>
      </c>
      <c r="V142" s="46"/>
      <c r="W142" s="44"/>
      <c r="X142" s="44"/>
      <c r="Y142" s="44"/>
      <c r="Z142" s="44"/>
      <c r="AA142" s="44"/>
      <c r="AB142" s="42"/>
      <c r="AC142" s="47" t="s">
        <v>97</v>
      </c>
      <c r="AD142" s="48"/>
      <c r="AE142" s="43"/>
      <c r="AF142" s="43"/>
      <c r="AG142" s="43"/>
      <c r="AH142" s="43"/>
      <c r="AI142" s="55"/>
      <c r="AJ142" s="52"/>
      <c r="AT142" s="52"/>
      <c r="AU142" s="59"/>
      <c r="AV142" s="58"/>
      <c r="AW142" s="58"/>
      <c r="AX142" s="54" t="s">
        <v>69</v>
      </c>
      <c r="AY142" s="43" t="s">
        <v>70</v>
      </c>
      <c r="AZ142" s="43" t="s">
        <v>70</v>
      </c>
      <c r="BA142" s="43" t="s">
        <v>71</v>
      </c>
      <c r="BB142" s="43" t="s">
        <v>69</v>
      </c>
      <c r="BC142" s="51">
        <v>31</v>
      </c>
      <c r="BD142" s="43" t="s">
        <v>70</v>
      </c>
      <c r="BE142" s="9">
        <f t="shared" si="5"/>
        <v>133</v>
      </c>
      <c r="BF142" s="9" t="str">
        <f t="shared" si="7"/>
        <v>..</v>
      </c>
    </row>
    <row r="143" spans="1:58" ht="18" customHeight="1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1" t="s">
        <v>93</v>
      </c>
      <c r="N143" s="44"/>
      <c r="O143" s="44"/>
      <c r="P143" s="44"/>
      <c r="Q143" s="45"/>
      <c r="R143" s="46"/>
      <c r="S143" s="46"/>
      <c r="T143" s="46"/>
      <c r="U143" s="44" t="s">
        <v>96</v>
      </c>
      <c r="V143" s="46"/>
      <c r="W143" s="44"/>
      <c r="X143" s="44"/>
      <c r="Y143" s="44"/>
      <c r="Z143" s="44"/>
      <c r="AA143" s="44"/>
      <c r="AB143" s="42"/>
      <c r="AC143" s="47" t="s">
        <v>97</v>
      </c>
      <c r="AD143" s="48"/>
      <c r="AE143" s="43"/>
      <c r="AF143" s="43"/>
      <c r="AG143" s="43"/>
      <c r="AH143" s="43"/>
      <c r="AI143" s="55"/>
      <c r="AJ143" s="52"/>
      <c r="AT143" s="52"/>
      <c r="AU143" s="59"/>
      <c r="AV143" s="58"/>
      <c r="AW143" s="58"/>
      <c r="AX143" s="54" t="s">
        <v>69</v>
      </c>
      <c r="AY143" s="43" t="s">
        <v>70</v>
      </c>
      <c r="AZ143" s="43" t="s">
        <v>70</v>
      </c>
      <c r="BA143" s="43" t="s">
        <v>71</v>
      </c>
      <c r="BB143" s="43" t="s">
        <v>69</v>
      </c>
      <c r="BC143" s="51">
        <v>31</v>
      </c>
      <c r="BD143" s="43" t="s">
        <v>70</v>
      </c>
      <c r="BE143" s="9">
        <f t="shared" si="5"/>
        <v>134</v>
      </c>
      <c r="BF143" s="9" t="str">
        <f t="shared" si="7"/>
        <v>..</v>
      </c>
    </row>
    <row r="144" spans="1:58" ht="18" customHeight="1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1" t="s">
        <v>93</v>
      </c>
      <c r="N144" s="44"/>
      <c r="O144" s="44"/>
      <c r="P144" s="44"/>
      <c r="Q144" s="45"/>
      <c r="R144" s="46"/>
      <c r="S144" s="46"/>
      <c r="T144" s="46"/>
      <c r="U144" s="44" t="s">
        <v>96</v>
      </c>
      <c r="V144" s="46"/>
      <c r="W144" s="44"/>
      <c r="X144" s="44"/>
      <c r="Y144" s="44"/>
      <c r="Z144" s="44"/>
      <c r="AA144" s="44"/>
      <c r="AB144" s="42"/>
      <c r="AC144" s="47" t="s">
        <v>97</v>
      </c>
      <c r="AD144" s="48"/>
      <c r="AE144" s="43"/>
      <c r="AF144" s="43"/>
      <c r="AG144" s="43"/>
      <c r="AH144" s="43"/>
      <c r="AI144" s="55"/>
      <c r="AJ144" s="52"/>
      <c r="AT144" s="52"/>
      <c r="AU144" s="59"/>
      <c r="AV144" s="58"/>
      <c r="AW144" s="58"/>
      <c r="AX144" s="54" t="s">
        <v>69</v>
      </c>
      <c r="AY144" s="43" t="s">
        <v>70</v>
      </c>
      <c r="AZ144" s="43" t="s">
        <v>70</v>
      </c>
      <c r="BA144" s="43" t="s">
        <v>71</v>
      </c>
      <c r="BB144" s="43" t="s">
        <v>69</v>
      </c>
      <c r="BC144" s="51">
        <v>31</v>
      </c>
      <c r="BD144" s="43" t="s">
        <v>70</v>
      </c>
      <c r="BE144" s="9">
        <f t="shared" si="5"/>
        <v>135</v>
      </c>
      <c r="BF144" s="9" t="str">
        <f t="shared" si="7"/>
        <v>..</v>
      </c>
    </row>
    <row r="145" spans="1:58" ht="18" customHeight="1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1" t="s">
        <v>93</v>
      </c>
      <c r="N145" s="44"/>
      <c r="O145" s="44"/>
      <c r="P145" s="44"/>
      <c r="Q145" s="45"/>
      <c r="R145" s="46"/>
      <c r="S145" s="46"/>
      <c r="T145" s="46"/>
      <c r="U145" s="44" t="s">
        <v>96</v>
      </c>
      <c r="V145" s="46"/>
      <c r="W145" s="44"/>
      <c r="X145" s="44"/>
      <c r="Y145" s="44"/>
      <c r="Z145" s="44"/>
      <c r="AA145" s="44"/>
      <c r="AB145" s="42"/>
      <c r="AC145" s="47" t="s">
        <v>97</v>
      </c>
      <c r="AD145" s="48"/>
      <c r="AE145" s="43"/>
      <c r="AF145" s="43"/>
      <c r="AG145" s="43"/>
      <c r="AH145" s="43"/>
      <c r="AI145" s="55"/>
      <c r="AJ145" s="52"/>
      <c r="AT145" s="52"/>
      <c r="AU145" s="59"/>
      <c r="AV145" s="58"/>
      <c r="AW145" s="58"/>
      <c r="AX145" s="54" t="s">
        <v>69</v>
      </c>
      <c r="AY145" s="43" t="s">
        <v>70</v>
      </c>
      <c r="AZ145" s="43" t="s">
        <v>70</v>
      </c>
      <c r="BA145" s="43" t="s">
        <v>71</v>
      </c>
      <c r="BB145" s="43" t="s">
        <v>69</v>
      </c>
      <c r="BC145" s="51">
        <v>31</v>
      </c>
      <c r="BD145" s="43" t="s">
        <v>70</v>
      </c>
      <c r="BE145" s="9">
        <f t="shared" ref="BE145:BE207" si="8">ROW()-ROW($BE$9)</f>
        <v>136</v>
      </c>
      <c r="BF145" s="9" t="str">
        <f t="shared" si="7"/>
        <v>..</v>
      </c>
    </row>
    <row r="146" spans="1:58" ht="18" customHeight="1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1" t="s">
        <v>93</v>
      </c>
      <c r="N146" s="44"/>
      <c r="O146" s="44"/>
      <c r="P146" s="44"/>
      <c r="Q146" s="45"/>
      <c r="R146" s="46"/>
      <c r="S146" s="46"/>
      <c r="T146" s="46"/>
      <c r="U146" s="44" t="s">
        <v>96</v>
      </c>
      <c r="V146" s="46"/>
      <c r="W146" s="44"/>
      <c r="X146" s="44"/>
      <c r="Y146" s="44"/>
      <c r="Z146" s="44"/>
      <c r="AA146" s="44"/>
      <c r="AB146" s="42"/>
      <c r="AC146" s="47" t="s">
        <v>97</v>
      </c>
      <c r="AD146" s="48"/>
      <c r="AE146" s="43"/>
      <c r="AF146" s="43"/>
      <c r="AG146" s="43"/>
      <c r="AH146" s="43"/>
      <c r="AI146" s="55"/>
      <c r="AJ146" s="52"/>
      <c r="AT146" s="52"/>
      <c r="AU146" s="59"/>
      <c r="AV146" s="58"/>
      <c r="AW146" s="58"/>
      <c r="AX146" s="54" t="s">
        <v>69</v>
      </c>
      <c r="AY146" s="43" t="s">
        <v>70</v>
      </c>
      <c r="AZ146" s="43" t="s">
        <v>70</v>
      </c>
      <c r="BA146" s="43" t="s">
        <v>71</v>
      </c>
      <c r="BB146" s="43" t="s">
        <v>69</v>
      </c>
      <c r="BC146" s="51">
        <v>31</v>
      </c>
      <c r="BD146" s="43" t="s">
        <v>70</v>
      </c>
      <c r="BE146" s="9">
        <f t="shared" si="8"/>
        <v>137</v>
      </c>
      <c r="BF146" s="9" t="str">
        <f t="shared" si="7"/>
        <v>..</v>
      </c>
    </row>
    <row r="147" spans="1:58" ht="18" customHeight="1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1" t="s">
        <v>93</v>
      </c>
      <c r="N147" s="44"/>
      <c r="O147" s="44"/>
      <c r="P147" s="44"/>
      <c r="Q147" s="45"/>
      <c r="R147" s="46"/>
      <c r="S147" s="46"/>
      <c r="T147" s="46"/>
      <c r="U147" s="44" t="s">
        <v>96</v>
      </c>
      <c r="V147" s="46"/>
      <c r="W147" s="44"/>
      <c r="X147" s="44"/>
      <c r="Y147" s="44"/>
      <c r="Z147" s="44"/>
      <c r="AA147" s="44"/>
      <c r="AB147" s="42"/>
      <c r="AC147" s="47" t="s">
        <v>97</v>
      </c>
      <c r="AD147" s="48"/>
      <c r="AE147" s="43"/>
      <c r="AF147" s="43"/>
      <c r="AG147" s="43"/>
      <c r="AH147" s="43"/>
      <c r="AI147" s="55"/>
      <c r="AJ147" s="52"/>
      <c r="AT147" s="52"/>
      <c r="AU147" s="59"/>
      <c r="AV147" s="58"/>
      <c r="AW147" s="58"/>
      <c r="AX147" s="54" t="s">
        <v>69</v>
      </c>
      <c r="AY147" s="43" t="s">
        <v>70</v>
      </c>
      <c r="AZ147" s="43" t="s">
        <v>70</v>
      </c>
      <c r="BA147" s="43" t="s">
        <v>71</v>
      </c>
      <c r="BB147" s="43" t="s">
        <v>69</v>
      </c>
      <c r="BC147" s="51">
        <v>31</v>
      </c>
      <c r="BD147" s="43" t="s">
        <v>70</v>
      </c>
      <c r="BE147" s="9">
        <f t="shared" si="8"/>
        <v>138</v>
      </c>
      <c r="BF147" s="9" t="str">
        <f t="shared" si="7"/>
        <v>..</v>
      </c>
    </row>
    <row r="148" spans="1:58" ht="18" customHeight="1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1" t="s">
        <v>93</v>
      </c>
      <c r="N148" s="44"/>
      <c r="O148" s="44"/>
      <c r="P148" s="44"/>
      <c r="Q148" s="45"/>
      <c r="R148" s="46"/>
      <c r="S148" s="46"/>
      <c r="T148" s="46"/>
      <c r="U148" s="44" t="s">
        <v>96</v>
      </c>
      <c r="V148" s="46"/>
      <c r="W148" s="44"/>
      <c r="X148" s="44"/>
      <c r="Y148" s="44"/>
      <c r="Z148" s="44"/>
      <c r="AA148" s="44"/>
      <c r="AB148" s="42"/>
      <c r="AC148" s="47" t="s">
        <v>97</v>
      </c>
      <c r="AD148" s="48"/>
      <c r="AE148" s="43"/>
      <c r="AF148" s="43"/>
      <c r="AG148" s="43"/>
      <c r="AH148" s="43"/>
      <c r="AI148" s="55"/>
      <c r="AJ148" s="52"/>
      <c r="AT148" s="52"/>
      <c r="AU148" s="59"/>
      <c r="AV148" s="58"/>
      <c r="AW148" s="58"/>
      <c r="AX148" s="54" t="s">
        <v>69</v>
      </c>
      <c r="AY148" s="43" t="s">
        <v>70</v>
      </c>
      <c r="AZ148" s="43" t="s">
        <v>70</v>
      </c>
      <c r="BA148" s="43" t="s">
        <v>71</v>
      </c>
      <c r="BB148" s="43" t="s">
        <v>69</v>
      </c>
      <c r="BC148" s="51">
        <v>31</v>
      </c>
      <c r="BD148" s="43" t="s">
        <v>70</v>
      </c>
      <c r="BE148" s="9">
        <f t="shared" si="8"/>
        <v>139</v>
      </c>
      <c r="BF148" s="9" t="str">
        <f t="shared" si="7"/>
        <v>..</v>
      </c>
    </row>
    <row r="149" spans="1:58" ht="18" customHeight="1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1" t="s">
        <v>93</v>
      </c>
      <c r="N149" s="44"/>
      <c r="O149" s="44"/>
      <c r="P149" s="44"/>
      <c r="Q149" s="45"/>
      <c r="R149" s="46"/>
      <c r="S149" s="46"/>
      <c r="T149" s="46"/>
      <c r="U149" s="44" t="s">
        <v>96</v>
      </c>
      <c r="V149" s="46"/>
      <c r="W149" s="44"/>
      <c r="X149" s="44"/>
      <c r="Y149" s="44"/>
      <c r="Z149" s="44"/>
      <c r="AA149" s="44"/>
      <c r="AB149" s="42"/>
      <c r="AC149" s="47" t="s">
        <v>97</v>
      </c>
      <c r="AD149" s="48"/>
      <c r="AE149" s="43"/>
      <c r="AF149" s="43"/>
      <c r="AG149" s="43"/>
      <c r="AH149" s="43"/>
      <c r="AI149" s="55"/>
      <c r="AJ149" s="52"/>
      <c r="AT149" s="52"/>
      <c r="AU149" s="59"/>
      <c r="AV149" s="58"/>
      <c r="AW149" s="58"/>
      <c r="AX149" s="54" t="s">
        <v>69</v>
      </c>
      <c r="AY149" s="43" t="s">
        <v>70</v>
      </c>
      <c r="AZ149" s="43" t="s">
        <v>70</v>
      </c>
      <c r="BA149" s="43" t="s">
        <v>71</v>
      </c>
      <c r="BB149" s="43" t="s">
        <v>69</v>
      </c>
      <c r="BC149" s="51">
        <v>31</v>
      </c>
      <c r="BD149" s="43" t="s">
        <v>70</v>
      </c>
      <c r="BE149" s="9">
        <f t="shared" si="8"/>
        <v>140</v>
      </c>
      <c r="BF149" s="9" t="str">
        <f t="shared" si="7"/>
        <v>..</v>
      </c>
    </row>
    <row r="150" spans="1:58" ht="18" customHeight="1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1" t="s">
        <v>93</v>
      </c>
      <c r="N150" s="44"/>
      <c r="O150" s="44"/>
      <c r="P150" s="44"/>
      <c r="Q150" s="45"/>
      <c r="R150" s="46"/>
      <c r="S150" s="46"/>
      <c r="T150" s="46"/>
      <c r="U150" s="44" t="s">
        <v>96</v>
      </c>
      <c r="V150" s="46"/>
      <c r="W150" s="44"/>
      <c r="X150" s="44"/>
      <c r="Y150" s="44"/>
      <c r="Z150" s="44"/>
      <c r="AA150" s="44"/>
      <c r="AB150" s="42"/>
      <c r="AC150" s="47" t="s">
        <v>97</v>
      </c>
      <c r="AD150" s="48"/>
      <c r="AE150" s="43"/>
      <c r="AF150" s="43"/>
      <c r="AG150" s="43"/>
      <c r="AH150" s="43"/>
      <c r="AI150" s="55"/>
      <c r="AJ150" s="52"/>
      <c r="AT150" s="52"/>
      <c r="AU150" s="59"/>
      <c r="AV150" s="58"/>
      <c r="AW150" s="58"/>
      <c r="AX150" s="54" t="s">
        <v>69</v>
      </c>
      <c r="AY150" s="43" t="s">
        <v>70</v>
      </c>
      <c r="AZ150" s="43" t="s">
        <v>70</v>
      </c>
      <c r="BA150" s="43" t="s">
        <v>71</v>
      </c>
      <c r="BB150" s="43" t="s">
        <v>69</v>
      </c>
      <c r="BC150" s="51">
        <v>31</v>
      </c>
      <c r="BD150" s="43" t="s">
        <v>70</v>
      </c>
      <c r="BE150" s="9">
        <f t="shared" si="8"/>
        <v>141</v>
      </c>
      <c r="BF150" s="9" t="str">
        <f t="shared" si="7"/>
        <v>..</v>
      </c>
    </row>
    <row r="151" spans="1:58" ht="18" customHeight="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1" t="s">
        <v>93</v>
      </c>
      <c r="N151" s="44"/>
      <c r="O151" s="44"/>
      <c r="P151" s="44"/>
      <c r="Q151" s="45"/>
      <c r="R151" s="46"/>
      <c r="S151" s="46"/>
      <c r="T151" s="46"/>
      <c r="U151" s="44" t="s">
        <v>96</v>
      </c>
      <c r="V151" s="46"/>
      <c r="W151" s="44"/>
      <c r="X151" s="44"/>
      <c r="Y151" s="44"/>
      <c r="Z151" s="44"/>
      <c r="AA151" s="44"/>
      <c r="AB151" s="42"/>
      <c r="AC151" s="47" t="s">
        <v>97</v>
      </c>
      <c r="AD151" s="48"/>
      <c r="AE151" s="43"/>
      <c r="AF151" s="43"/>
      <c r="AG151" s="43"/>
      <c r="AH151" s="43"/>
      <c r="AI151" s="55"/>
      <c r="AJ151" s="52"/>
      <c r="AT151" s="52"/>
      <c r="AU151" s="59"/>
      <c r="AV151" s="58"/>
      <c r="AW151" s="58"/>
      <c r="AX151" s="54" t="s">
        <v>69</v>
      </c>
      <c r="AY151" s="43" t="s">
        <v>70</v>
      </c>
      <c r="AZ151" s="43" t="s">
        <v>70</v>
      </c>
      <c r="BA151" s="43" t="s">
        <v>71</v>
      </c>
      <c r="BB151" s="43" t="s">
        <v>69</v>
      </c>
      <c r="BC151" s="51">
        <v>31</v>
      </c>
      <c r="BD151" s="43" t="s">
        <v>70</v>
      </c>
      <c r="BE151" s="9">
        <f t="shared" si="8"/>
        <v>142</v>
      </c>
      <c r="BF151" s="9" t="str">
        <f t="shared" si="7"/>
        <v>..</v>
      </c>
    </row>
    <row r="152" spans="1:58" ht="18" customHeight="1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1" t="s">
        <v>93</v>
      </c>
      <c r="N152" s="44"/>
      <c r="O152" s="44"/>
      <c r="P152" s="44"/>
      <c r="Q152" s="45"/>
      <c r="R152" s="46"/>
      <c r="S152" s="46"/>
      <c r="T152" s="46"/>
      <c r="U152" s="44" t="s">
        <v>96</v>
      </c>
      <c r="V152" s="46"/>
      <c r="W152" s="44"/>
      <c r="X152" s="44"/>
      <c r="Y152" s="44"/>
      <c r="Z152" s="44"/>
      <c r="AA152" s="44"/>
      <c r="AB152" s="42"/>
      <c r="AC152" s="47" t="s">
        <v>97</v>
      </c>
      <c r="AD152" s="48"/>
      <c r="AE152" s="43"/>
      <c r="AF152" s="43"/>
      <c r="AG152" s="43"/>
      <c r="AH152" s="43"/>
      <c r="AI152" s="55"/>
      <c r="AJ152" s="52"/>
      <c r="AT152" s="52"/>
      <c r="AU152" s="59"/>
      <c r="AV152" s="58"/>
      <c r="AW152" s="58"/>
      <c r="AX152" s="54" t="s">
        <v>69</v>
      </c>
      <c r="AY152" s="43" t="s">
        <v>70</v>
      </c>
      <c r="AZ152" s="43" t="s">
        <v>70</v>
      </c>
      <c r="BA152" s="43" t="s">
        <v>71</v>
      </c>
      <c r="BB152" s="43" t="s">
        <v>69</v>
      </c>
      <c r="BC152" s="51">
        <v>31</v>
      </c>
      <c r="BD152" s="43" t="s">
        <v>70</v>
      </c>
      <c r="BE152" s="9">
        <f t="shared" si="8"/>
        <v>143</v>
      </c>
      <c r="BF152" s="9" t="str">
        <f t="shared" si="7"/>
        <v>..</v>
      </c>
    </row>
    <row r="153" spans="1:58" ht="18" customHeight="1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1" t="s">
        <v>93</v>
      </c>
      <c r="N153" s="44"/>
      <c r="O153" s="44"/>
      <c r="P153" s="44"/>
      <c r="Q153" s="45"/>
      <c r="R153" s="46"/>
      <c r="S153" s="46"/>
      <c r="T153" s="46"/>
      <c r="U153" s="44" t="s">
        <v>96</v>
      </c>
      <c r="V153" s="46"/>
      <c r="W153" s="44"/>
      <c r="X153" s="44"/>
      <c r="Y153" s="44"/>
      <c r="Z153" s="44"/>
      <c r="AA153" s="44"/>
      <c r="AB153" s="42"/>
      <c r="AC153" s="47" t="s">
        <v>97</v>
      </c>
      <c r="AD153" s="48"/>
      <c r="AE153" s="43"/>
      <c r="AF153" s="43"/>
      <c r="AG153" s="43"/>
      <c r="AH153" s="43"/>
      <c r="AI153" s="55"/>
      <c r="AJ153" s="52"/>
      <c r="AT153" s="52"/>
      <c r="AU153" s="59"/>
      <c r="AV153" s="58"/>
      <c r="AW153" s="58"/>
      <c r="AX153" s="54" t="s">
        <v>69</v>
      </c>
      <c r="AY153" s="43" t="s">
        <v>70</v>
      </c>
      <c r="AZ153" s="43" t="s">
        <v>70</v>
      </c>
      <c r="BA153" s="43" t="s">
        <v>71</v>
      </c>
      <c r="BB153" s="43" t="s">
        <v>69</v>
      </c>
      <c r="BC153" s="51">
        <v>31</v>
      </c>
      <c r="BD153" s="43" t="s">
        <v>70</v>
      </c>
      <c r="BE153" s="9">
        <f t="shared" si="8"/>
        <v>144</v>
      </c>
      <c r="BF153" s="9" t="str">
        <f t="shared" si="7"/>
        <v>..</v>
      </c>
    </row>
    <row r="154" spans="1:58" ht="18" customHeight="1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1" t="s">
        <v>93</v>
      </c>
      <c r="N154" s="44"/>
      <c r="O154" s="44"/>
      <c r="P154" s="44"/>
      <c r="Q154" s="45"/>
      <c r="R154" s="46"/>
      <c r="S154" s="46"/>
      <c r="T154" s="46"/>
      <c r="U154" s="44" t="s">
        <v>96</v>
      </c>
      <c r="V154" s="46"/>
      <c r="W154" s="44"/>
      <c r="X154" s="44"/>
      <c r="Y154" s="44"/>
      <c r="Z154" s="44"/>
      <c r="AA154" s="44"/>
      <c r="AB154" s="42"/>
      <c r="AC154" s="47" t="s">
        <v>97</v>
      </c>
      <c r="AD154" s="48"/>
      <c r="AE154" s="43"/>
      <c r="AF154" s="43"/>
      <c r="AG154" s="43"/>
      <c r="AH154" s="43"/>
      <c r="AI154" s="55"/>
      <c r="AJ154" s="52"/>
      <c r="AT154" s="52"/>
      <c r="AU154" s="59"/>
      <c r="AV154" s="58"/>
      <c r="AW154" s="58"/>
      <c r="AX154" s="54" t="s">
        <v>69</v>
      </c>
      <c r="AY154" s="43" t="s">
        <v>70</v>
      </c>
      <c r="AZ154" s="43" t="s">
        <v>70</v>
      </c>
      <c r="BA154" s="43" t="s">
        <v>71</v>
      </c>
      <c r="BB154" s="43" t="s">
        <v>69</v>
      </c>
      <c r="BC154" s="51">
        <v>31</v>
      </c>
      <c r="BD154" s="43" t="s">
        <v>70</v>
      </c>
      <c r="BE154" s="9">
        <f t="shared" si="8"/>
        <v>145</v>
      </c>
      <c r="BF154" s="9" t="str">
        <f t="shared" si="7"/>
        <v>..</v>
      </c>
    </row>
    <row r="155" spans="1:58" ht="18" customHeight="1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1" t="s">
        <v>93</v>
      </c>
      <c r="N155" s="44"/>
      <c r="O155" s="44"/>
      <c r="P155" s="44"/>
      <c r="Q155" s="45"/>
      <c r="R155" s="46"/>
      <c r="S155" s="46"/>
      <c r="T155" s="46"/>
      <c r="U155" s="44" t="s">
        <v>96</v>
      </c>
      <c r="V155" s="46"/>
      <c r="W155" s="44"/>
      <c r="X155" s="44"/>
      <c r="Y155" s="44"/>
      <c r="Z155" s="44"/>
      <c r="AA155" s="44"/>
      <c r="AB155" s="42"/>
      <c r="AC155" s="47" t="s">
        <v>97</v>
      </c>
      <c r="AD155" s="48"/>
      <c r="AE155" s="43"/>
      <c r="AF155" s="43"/>
      <c r="AG155" s="43"/>
      <c r="AH155" s="43"/>
      <c r="AI155" s="55"/>
      <c r="AJ155" s="52"/>
      <c r="AT155" s="52"/>
      <c r="AU155" s="59"/>
      <c r="AV155" s="58"/>
      <c r="AW155" s="58"/>
      <c r="AX155" s="54" t="s">
        <v>69</v>
      </c>
      <c r="AY155" s="43" t="s">
        <v>70</v>
      </c>
      <c r="AZ155" s="43" t="s">
        <v>70</v>
      </c>
      <c r="BA155" s="43" t="s">
        <v>71</v>
      </c>
      <c r="BB155" s="43" t="s">
        <v>69</v>
      </c>
      <c r="BC155" s="51">
        <v>31</v>
      </c>
      <c r="BD155" s="43" t="s">
        <v>70</v>
      </c>
      <c r="BE155" s="9">
        <f t="shared" si="8"/>
        <v>146</v>
      </c>
      <c r="BF155" s="9" t="str">
        <f t="shared" si="7"/>
        <v>..</v>
      </c>
    </row>
    <row r="156" spans="1:58" ht="18" customHeight="1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1" t="s">
        <v>93</v>
      </c>
      <c r="N156" s="44"/>
      <c r="O156" s="44"/>
      <c r="P156" s="44"/>
      <c r="Q156" s="45"/>
      <c r="R156" s="46"/>
      <c r="S156" s="46"/>
      <c r="T156" s="46"/>
      <c r="U156" s="44" t="s">
        <v>96</v>
      </c>
      <c r="V156" s="46"/>
      <c r="W156" s="44"/>
      <c r="X156" s="44"/>
      <c r="Y156" s="44"/>
      <c r="Z156" s="44"/>
      <c r="AA156" s="44"/>
      <c r="AB156" s="42"/>
      <c r="AC156" s="47" t="s">
        <v>97</v>
      </c>
      <c r="AD156" s="48"/>
      <c r="AE156" s="43"/>
      <c r="AF156" s="43"/>
      <c r="AG156" s="43"/>
      <c r="AH156" s="43"/>
      <c r="AI156" s="55"/>
      <c r="AJ156" s="52"/>
      <c r="AT156" s="52"/>
      <c r="AU156" s="59"/>
      <c r="AV156" s="58"/>
      <c r="AW156" s="58"/>
      <c r="AX156" s="54" t="s">
        <v>69</v>
      </c>
      <c r="AY156" s="43" t="s">
        <v>70</v>
      </c>
      <c r="AZ156" s="43" t="s">
        <v>70</v>
      </c>
      <c r="BA156" s="43" t="s">
        <v>71</v>
      </c>
      <c r="BB156" s="43" t="s">
        <v>69</v>
      </c>
      <c r="BC156" s="51">
        <v>31</v>
      </c>
      <c r="BD156" s="43" t="s">
        <v>70</v>
      </c>
      <c r="BE156" s="9">
        <f t="shared" si="8"/>
        <v>147</v>
      </c>
      <c r="BF156" s="9" t="str">
        <f t="shared" si="7"/>
        <v>..</v>
      </c>
    </row>
    <row r="157" spans="1:58" ht="18" customHeight="1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1" t="s">
        <v>93</v>
      </c>
      <c r="N157" s="44"/>
      <c r="O157" s="44"/>
      <c r="P157" s="44"/>
      <c r="Q157" s="45"/>
      <c r="R157" s="46"/>
      <c r="S157" s="46"/>
      <c r="T157" s="46"/>
      <c r="U157" s="44" t="s">
        <v>96</v>
      </c>
      <c r="V157" s="46"/>
      <c r="W157" s="44"/>
      <c r="X157" s="44"/>
      <c r="Y157" s="44"/>
      <c r="Z157" s="44"/>
      <c r="AA157" s="44"/>
      <c r="AB157" s="42"/>
      <c r="AC157" s="47" t="s">
        <v>97</v>
      </c>
      <c r="AD157" s="48"/>
      <c r="AE157" s="43"/>
      <c r="AF157" s="43"/>
      <c r="AG157" s="43"/>
      <c r="AH157" s="43"/>
      <c r="AI157" s="55"/>
      <c r="AJ157" s="52"/>
      <c r="AT157" s="52"/>
      <c r="AU157" s="59"/>
      <c r="AV157" s="58"/>
      <c r="AW157" s="58"/>
      <c r="AX157" s="54" t="s">
        <v>69</v>
      </c>
      <c r="AY157" s="43" t="s">
        <v>70</v>
      </c>
      <c r="AZ157" s="43" t="s">
        <v>70</v>
      </c>
      <c r="BA157" s="43" t="s">
        <v>71</v>
      </c>
      <c r="BB157" s="43" t="s">
        <v>69</v>
      </c>
      <c r="BC157" s="51">
        <v>31</v>
      </c>
      <c r="BD157" s="43" t="s">
        <v>70</v>
      </c>
      <c r="BE157" s="9">
        <f t="shared" si="8"/>
        <v>148</v>
      </c>
      <c r="BF157" s="9" t="str">
        <f t="shared" si="7"/>
        <v>..</v>
      </c>
    </row>
    <row r="158" spans="1:58" ht="18" customHeight="1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1" t="s">
        <v>93</v>
      </c>
      <c r="N158" s="44"/>
      <c r="O158" s="44"/>
      <c r="P158" s="44"/>
      <c r="Q158" s="45"/>
      <c r="R158" s="46"/>
      <c r="S158" s="46"/>
      <c r="T158" s="46"/>
      <c r="U158" s="44" t="s">
        <v>96</v>
      </c>
      <c r="V158" s="46"/>
      <c r="W158" s="44"/>
      <c r="X158" s="44"/>
      <c r="Y158" s="44"/>
      <c r="Z158" s="44"/>
      <c r="AA158" s="44"/>
      <c r="AB158" s="42"/>
      <c r="AC158" s="47" t="s">
        <v>97</v>
      </c>
      <c r="AD158" s="48"/>
      <c r="AE158" s="43"/>
      <c r="AF158" s="43"/>
      <c r="AG158" s="43"/>
      <c r="AH158" s="43"/>
      <c r="AI158" s="55"/>
      <c r="AJ158" s="52"/>
      <c r="AT158" s="52"/>
      <c r="AU158" s="59"/>
      <c r="AV158" s="58"/>
      <c r="AW158" s="58"/>
      <c r="AX158" s="54" t="s">
        <v>69</v>
      </c>
      <c r="AY158" s="43" t="s">
        <v>70</v>
      </c>
      <c r="AZ158" s="43" t="s">
        <v>70</v>
      </c>
      <c r="BA158" s="43" t="s">
        <v>71</v>
      </c>
      <c r="BB158" s="43" t="s">
        <v>69</v>
      </c>
      <c r="BC158" s="51">
        <v>31</v>
      </c>
      <c r="BD158" s="43" t="s">
        <v>70</v>
      </c>
      <c r="BE158" s="9">
        <f t="shared" si="8"/>
        <v>149</v>
      </c>
      <c r="BF158" s="9" t="str">
        <f t="shared" si="7"/>
        <v>..</v>
      </c>
    </row>
    <row r="159" spans="1:58" ht="18" customHeight="1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1" t="s">
        <v>93</v>
      </c>
      <c r="N159" s="44"/>
      <c r="O159" s="44"/>
      <c r="P159" s="44"/>
      <c r="Q159" s="45"/>
      <c r="R159" s="46"/>
      <c r="S159" s="46"/>
      <c r="T159" s="46"/>
      <c r="U159" s="44" t="s">
        <v>96</v>
      </c>
      <c r="V159" s="46"/>
      <c r="W159" s="44"/>
      <c r="X159" s="44"/>
      <c r="Y159" s="44"/>
      <c r="Z159" s="44"/>
      <c r="AA159" s="44"/>
      <c r="AB159" s="42"/>
      <c r="AC159" s="47" t="s">
        <v>97</v>
      </c>
      <c r="AD159" s="48"/>
      <c r="AE159" s="43"/>
      <c r="AF159" s="43"/>
      <c r="AG159" s="43"/>
      <c r="AH159" s="43"/>
      <c r="AI159" s="55"/>
      <c r="AJ159" s="52"/>
      <c r="AT159" s="52"/>
      <c r="AU159" s="59"/>
      <c r="AV159" s="58"/>
      <c r="AW159" s="58"/>
      <c r="AX159" s="54" t="s">
        <v>69</v>
      </c>
      <c r="AY159" s="43" t="s">
        <v>70</v>
      </c>
      <c r="AZ159" s="43" t="s">
        <v>70</v>
      </c>
      <c r="BA159" s="43" t="s">
        <v>71</v>
      </c>
      <c r="BB159" s="43" t="s">
        <v>69</v>
      </c>
      <c r="BC159" s="51">
        <v>31</v>
      </c>
      <c r="BD159" s="43" t="s">
        <v>70</v>
      </c>
      <c r="BE159" s="9">
        <f t="shared" si="8"/>
        <v>150</v>
      </c>
      <c r="BF159" s="9" t="str">
        <f t="shared" si="7"/>
        <v>..</v>
      </c>
    </row>
    <row r="160" spans="1:58" ht="18" customHeight="1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1" t="s">
        <v>93</v>
      </c>
      <c r="N160" s="44"/>
      <c r="O160" s="44"/>
      <c r="P160" s="44"/>
      <c r="Q160" s="45"/>
      <c r="R160" s="46"/>
      <c r="S160" s="46"/>
      <c r="T160" s="46"/>
      <c r="U160" s="44" t="s">
        <v>96</v>
      </c>
      <c r="V160" s="46"/>
      <c r="W160" s="44"/>
      <c r="X160" s="44"/>
      <c r="Y160" s="44"/>
      <c r="Z160" s="44"/>
      <c r="AA160" s="44"/>
      <c r="AB160" s="42"/>
      <c r="AC160" s="47" t="s">
        <v>97</v>
      </c>
      <c r="AD160" s="48"/>
      <c r="AE160" s="43"/>
      <c r="AF160" s="43"/>
      <c r="AG160" s="43"/>
      <c r="AH160" s="43"/>
      <c r="AI160" s="55"/>
      <c r="AJ160" s="52"/>
      <c r="AT160" s="52"/>
      <c r="AU160" s="59"/>
      <c r="AV160" s="58"/>
      <c r="AW160" s="58"/>
      <c r="AX160" s="54" t="s">
        <v>69</v>
      </c>
      <c r="AY160" s="43" t="s">
        <v>70</v>
      </c>
      <c r="AZ160" s="43" t="s">
        <v>70</v>
      </c>
      <c r="BA160" s="43" t="s">
        <v>71</v>
      </c>
      <c r="BB160" s="43" t="s">
        <v>69</v>
      </c>
      <c r="BC160" s="51">
        <v>31</v>
      </c>
      <c r="BD160" s="43" t="s">
        <v>70</v>
      </c>
      <c r="BE160" s="9">
        <f t="shared" si="8"/>
        <v>151</v>
      </c>
      <c r="BF160" s="9" t="str">
        <f t="shared" si="7"/>
        <v>..</v>
      </c>
    </row>
    <row r="161" spans="1:58" ht="18" customHeight="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1" t="s">
        <v>93</v>
      </c>
      <c r="N161" s="44"/>
      <c r="O161" s="44"/>
      <c r="P161" s="44"/>
      <c r="Q161" s="45"/>
      <c r="R161" s="46"/>
      <c r="S161" s="46"/>
      <c r="T161" s="46"/>
      <c r="U161" s="44" t="s">
        <v>96</v>
      </c>
      <c r="V161" s="46"/>
      <c r="W161" s="44"/>
      <c r="X161" s="44"/>
      <c r="Y161" s="44"/>
      <c r="Z161" s="44"/>
      <c r="AA161" s="44"/>
      <c r="AB161" s="42"/>
      <c r="AC161" s="47" t="s">
        <v>97</v>
      </c>
      <c r="AD161" s="48"/>
      <c r="AE161" s="43"/>
      <c r="AF161" s="43"/>
      <c r="AG161" s="43"/>
      <c r="AH161" s="43"/>
      <c r="AI161" s="55"/>
      <c r="AJ161" s="52"/>
      <c r="AT161" s="52"/>
      <c r="AU161" s="59"/>
      <c r="AV161" s="58"/>
      <c r="AW161" s="58"/>
      <c r="AX161" s="54" t="s">
        <v>69</v>
      </c>
      <c r="AY161" s="43" t="s">
        <v>70</v>
      </c>
      <c r="AZ161" s="43" t="s">
        <v>70</v>
      </c>
      <c r="BA161" s="43" t="s">
        <v>71</v>
      </c>
      <c r="BB161" s="43" t="s">
        <v>69</v>
      </c>
      <c r="BC161" s="51">
        <v>31</v>
      </c>
      <c r="BD161" s="43" t="s">
        <v>70</v>
      </c>
      <c r="BE161" s="9">
        <f t="shared" si="8"/>
        <v>152</v>
      </c>
      <c r="BF161" s="9" t="str">
        <f t="shared" si="7"/>
        <v>..</v>
      </c>
    </row>
    <row r="162" spans="1:58" ht="18" customHeight="1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1" t="s">
        <v>93</v>
      </c>
      <c r="N162" s="44"/>
      <c r="O162" s="44"/>
      <c r="P162" s="44"/>
      <c r="Q162" s="45"/>
      <c r="R162" s="46"/>
      <c r="S162" s="46"/>
      <c r="T162" s="46"/>
      <c r="U162" s="44" t="s">
        <v>96</v>
      </c>
      <c r="V162" s="46"/>
      <c r="W162" s="44"/>
      <c r="X162" s="44"/>
      <c r="Y162" s="44"/>
      <c r="Z162" s="44"/>
      <c r="AA162" s="44"/>
      <c r="AB162" s="42"/>
      <c r="AC162" s="47" t="s">
        <v>97</v>
      </c>
      <c r="AD162" s="48"/>
      <c r="AE162" s="43"/>
      <c r="AF162" s="43"/>
      <c r="AG162" s="43"/>
      <c r="AH162" s="43"/>
      <c r="AI162" s="55"/>
      <c r="AJ162" s="52"/>
      <c r="AT162" s="52"/>
      <c r="AU162" s="59"/>
      <c r="AV162" s="58"/>
      <c r="AW162" s="58"/>
      <c r="AX162" s="54" t="s">
        <v>69</v>
      </c>
      <c r="AY162" s="43" t="s">
        <v>70</v>
      </c>
      <c r="AZ162" s="43" t="s">
        <v>70</v>
      </c>
      <c r="BA162" s="43" t="s">
        <v>71</v>
      </c>
      <c r="BB162" s="43" t="s">
        <v>69</v>
      </c>
      <c r="BC162" s="51">
        <v>31</v>
      </c>
      <c r="BD162" s="43" t="s">
        <v>70</v>
      </c>
      <c r="BE162" s="9">
        <f t="shared" si="8"/>
        <v>153</v>
      </c>
      <c r="BF162" s="9" t="str">
        <f t="shared" si="7"/>
        <v>..</v>
      </c>
    </row>
    <row r="163" spans="1:58" ht="18" customHeight="1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1" t="s">
        <v>93</v>
      </c>
      <c r="N163" s="44"/>
      <c r="O163" s="44"/>
      <c r="P163" s="44"/>
      <c r="Q163" s="45"/>
      <c r="R163" s="46"/>
      <c r="S163" s="46"/>
      <c r="T163" s="46"/>
      <c r="U163" s="44" t="s">
        <v>96</v>
      </c>
      <c r="V163" s="46"/>
      <c r="W163" s="44"/>
      <c r="X163" s="44"/>
      <c r="Y163" s="44"/>
      <c r="Z163" s="44"/>
      <c r="AA163" s="44"/>
      <c r="AB163" s="42"/>
      <c r="AC163" s="47" t="s">
        <v>97</v>
      </c>
      <c r="AD163" s="48"/>
      <c r="AE163" s="43"/>
      <c r="AF163" s="43"/>
      <c r="AG163" s="43"/>
      <c r="AH163" s="43"/>
      <c r="AI163" s="55"/>
      <c r="AJ163" s="52"/>
      <c r="AT163" s="52"/>
      <c r="AU163" s="59"/>
      <c r="AV163" s="58"/>
      <c r="AW163" s="58"/>
      <c r="AX163" s="54" t="s">
        <v>69</v>
      </c>
      <c r="AY163" s="43" t="s">
        <v>70</v>
      </c>
      <c r="AZ163" s="43" t="s">
        <v>70</v>
      </c>
      <c r="BA163" s="43" t="s">
        <v>71</v>
      </c>
      <c r="BB163" s="43" t="s">
        <v>69</v>
      </c>
      <c r="BC163" s="51">
        <v>31</v>
      </c>
      <c r="BD163" s="43" t="s">
        <v>70</v>
      </c>
      <c r="BE163" s="9">
        <f t="shared" si="8"/>
        <v>154</v>
      </c>
      <c r="BF163" s="9" t="str">
        <f t="shared" si="7"/>
        <v>..</v>
      </c>
    </row>
    <row r="164" spans="1:58" ht="18" customHeight="1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1" t="s">
        <v>93</v>
      </c>
      <c r="N164" s="44"/>
      <c r="O164" s="44"/>
      <c r="P164" s="44"/>
      <c r="Q164" s="45"/>
      <c r="R164" s="46"/>
      <c r="S164" s="46"/>
      <c r="T164" s="46"/>
      <c r="U164" s="44" t="s">
        <v>96</v>
      </c>
      <c r="V164" s="46"/>
      <c r="W164" s="44"/>
      <c r="X164" s="44"/>
      <c r="Y164" s="44"/>
      <c r="Z164" s="44"/>
      <c r="AA164" s="44"/>
      <c r="AB164" s="42"/>
      <c r="AC164" s="47" t="s">
        <v>97</v>
      </c>
      <c r="AD164" s="48"/>
      <c r="AE164" s="43"/>
      <c r="AF164" s="43"/>
      <c r="AG164" s="43"/>
      <c r="AH164" s="43"/>
      <c r="AI164" s="55"/>
      <c r="AJ164" s="52"/>
      <c r="AT164" s="52"/>
      <c r="AU164" s="59"/>
      <c r="AV164" s="58"/>
      <c r="AW164" s="58"/>
      <c r="AX164" s="54" t="s">
        <v>69</v>
      </c>
      <c r="AY164" s="43" t="s">
        <v>70</v>
      </c>
      <c r="AZ164" s="43" t="s">
        <v>70</v>
      </c>
      <c r="BA164" s="43" t="s">
        <v>71</v>
      </c>
      <c r="BB164" s="43" t="s">
        <v>69</v>
      </c>
      <c r="BC164" s="51">
        <v>31</v>
      </c>
      <c r="BD164" s="43" t="s">
        <v>70</v>
      </c>
      <c r="BE164" s="9">
        <f t="shared" si="8"/>
        <v>155</v>
      </c>
      <c r="BF164" s="9" t="str">
        <f t="shared" si="7"/>
        <v>..</v>
      </c>
    </row>
    <row r="165" spans="1:58" ht="18" customHeight="1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1" t="s">
        <v>93</v>
      </c>
      <c r="N165" s="44"/>
      <c r="O165" s="44"/>
      <c r="P165" s="44"/>
      <c r="Q165" s="45"/>
      <c r="R165" s="46"/>
      <c r="S165" s="46"/>
      <c r="T165" s="46"/>
      <c r="U165" s="44" t="s">
        <v>96</v>
      </c>
      <c r="V165" s="46"/>
      <c r="W165" s="44"/>
      <c r="X165" s="44"/>
      <c r="Y165" s="44"/>
      <c r="Z165" s="44"/>
      <c r="AA165" s="44"/>
      <c r="AB165" s="42"/>
      <c r="AC165" s="47" t="s">
        <v>97</v>
      </c>
      <c r="AD165" s="48"/>
      <c r="AE165" s="43"/>
      <c r="AF165" s="43"/>
      <c r="AG165" s="43"/>
      <c r="AH165" s="43"/>
      <c r="AI165" s="55"/>
      <c r="AJ165" s="52"/>
      <c r="AT165" s="52"/>
      <c r="AU165" s="59"/>
      <c r="AV165" s="58"/>
      <c r="AW165" s="58"/>
      <c r="AX165" s="54" t="s">
        <v>69</v>
      </c>
      <c r="AY165" s="43" t="s">
        <v>70</v>
      </c>
      <c r="AZ165" s="43" t="s">
        <v>70</v>
      </c>
      <c r="BA165" s="43" t="s">
        <v>71</v>
      </c>
      <c r="BB165" s="43" t="s">
        <v>69</v>
      </c>
      <c r="BC165" s="51">
        <v>31</v>
      </c>
      <c r="BD165" s="43" t="s">
        <v>70</v>
      </c>
      <c r="BE165" s="9">
        <f t="shared" si="8"/>
        <v>156</v>
      </c>
      <c r="BF165" s="9" t="str">
        <f t="shared" si="7"/>
        <v>..</v>
      </c>
    </row>
    <row r="166" spans="1:58" ht="18" customHeight="1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1" t="s">
        <v>93</v>
      </c>
      <c r="N166" s="44"/>
      <c r="O166" s="44"/>
      <c r="P166" s="44"/>
      <c r="Q166" s="45"/>
      <c r="R166" s="46"/>
      <c r="S166" s="46"/>
      <c r="T166" s="46"/>
      <c r="U166" s="44" t="s">
        <v>96</v>
      </c>
      <c r="V166" s="46"/>
      <c r="W166" s="44"/>
      <c r="X166" s="44"/>
      <c r="Y166" s="44"/>
      <c r="Z166" s="44"/>
      <c r="AA166" s="44"/>
      <c r="AB166" s="42"/>
      <c r="AC166" s="47" t="s">
        <v>97</v>
      </c>
      <c r="AD166" s="48"/>
      <c r="AE166" s="43"/>
      <c r="AF166" s="43"/>
      <c r="AG166" s="43"/>
      <c r="AH166" s="43"/>
      <c r="AI166" s="55"/>
      <c r="AJ166" s="52"/>
      <c r="AT166" s="52"/>
      <c r="AU166" s="59"/>
      <c r="AV166" s="58"/>
      <c r="AW166" s="58"/>
      <c r="AX166" s="54" t="s">
        <v>69</v>
      </c>
      <c r="AY166" s="43" t="s">
        <v>70</v>
      </c>
      <c r="AZ166" s="43" t="s">
        <v>70</v>
      </c>
      <c r="BA166" s="43" t="s">
        <v>71</v>
      </c>
      <c r="BB166" s="43" t="s">
        <v>69</v>
      </c>
      <c r="BC166" s="51">
        <v>31</v>
      </c>
      <c r="BD166" s="43" t="s">
        <v>70</v>
      </c>
      <c r="BE166" s="9">
        <f t="shared" si="8"/>
        <v>157</v>
      </c>
      <c r="BF166" s="9" t="str">
        <f t="shared" si="7"/>
        <v>..</v>
      </c>
    </row>
    <row r="167" spans="1:58" ht="18" customHeight="1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1" t="s">
        <v>93</v>
      </c>
      <c r="N167" s="44"/>
      <c r="O167" s="44"/>
      <c r="P167" s="44"/>
      <c r="Q167" s="45"/>
      <c r="R167" s="46"/>
      <c r="S167" s="46"/>
      <c r="T167" s="46"/>
      <c r="U167" s="44" t="s">
        <v>96</v>
      </c>
      <c r="V167" s="46"/>
      <c r="W167" s="44"/>
      <c r="X167" s="44"/>
      <c r="Y167" s="44"/>
      <c r="Z167" s="44"/>
      <c r="AA167" s="44"/>
      <c r="AB167" s="42"/>
      <c r="AC167" s="47" t="s">
        <v>97</v>
      </c>
      <c r="AD167" s="48"/>
      <c r="AE167" s="43"/>
      <c r="AF167" s="43"/>
      <c r="AG167" s="43"/>
      <c r="AH167" s="43"/>
      <c r="AI167" s="55"/>
      <c r="AJ167" s="52"/>
      <c r="AT167" s="52"/>
      <c r="AU167" s="59"/>
      <c r="AV167" s="58"/>
      <c r="AW167" s="58"/>
      <c r="AX167" s="54" t="s">
        <v>69</v>
      </c>
      <c r="AY167" s="43" t="s">
        <v>70</v>
      </c>
      <c r="AZ167" s="43" t="s">
        <v>70</v>
      </c>
      <c r="BA167" s="43" t="s">
        <v>71</v>
      </c>
      <c r="BB167" s="43" t="s">
        <v>69</v>
      </c>
      <c r="BC167" s="51">
        <v>31</v>
      </c>
      <c r="BD167" s="43" t="s">
        <v>70</v>
      </c>
      <c r="BE167" s="9">
        <f t="shared" si="8"/>
        <v>158</v>
      </c>
      <c r="BF167" s="9" t="str">
        <f t="shared" si="7"/>
        <v>..</v>
      </c>
    </row>
    <row r="168" spans="1:58" ht="18" customHeight="1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1" t="s">
        <v>93</v>
      </c>
      <c r="N168" s="44"/>
      <c r="O168" s="44"/>
      <c r="P168" s="44"/>
      <c r="Q168" s="45"/>
      <c r="R168" s="46"/>
      <c r="S168" s="46"/>
      <c r="T168" s="46"/>
      <c r="U168" s="44" t="s">
        <v>96</v>
      </c>
      <c r="V168" s="46"/>
      <c r="W168" s="44"/>
      <c r="X168" s="44"/>
      <c r="Y168" s="44"/>
      <c r="Z168" s="44"/>
      <c r="AA168" s="44"/>
      <c r="AB168" s="42"/>
      <c r="AC168" s="47" t="s">
        <v>97</v>
      </c>
      <c r="AD168" s="48"/>
      <c r="AE168" s="43"/>
      <c r="AF168" s="43"/>
      <c r="AG168" s="43"/>
      <c r="AH168" s="43"/>
      <c r="AI168" s="55"/>
      <c r="AJ168" s="52"/>
      <c r="AT168" s="52"/>
      <c r="AU168" s="59"/>
      <c r="AV168" s="58"/>
      <c r="AW168" s="58"/>
      <c r="AX168" s="54" t="s">
        <v>69</v>
      </c>
      <c r="AY168" s="43" t="s">
        <v>70</v>
      </c>
      <c r="AZ168" s="43" t="s">
        <v>70</v>
      </c>
      <c r="BA168" s="43" t="s">
        <v>71</v>
      </c>
      <c r="BB168" s="43" t="s">
        <v>69</v>
      </c>
      <c r="BC168" s="51">
        <v>31</v>
      </c>
      <c r="BD168" s="43" t="s">
        <v>70</v>
      </c>
      <c r="BE168" s="9">
        <f t="shared" si="8"/>
        <v>159</v>
      </c>
      <c r="BF168" s="9" t="str">
        <f t="shared" si="7"/>
        <v>..</v>
      </c>
    </row>
    <row r="169" spans="1:58" ht="18" customHeight="1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1" t="s">
        <v>93</v>
      </c>
      <c r="N169" s="44"/>
      <c r="O169" s="44"/>
      <c r="P169" s="44"/>
      <c r="Q169" s="45"/>
      <c r="R169" s="46"/>
      <c r="S169" s="46"/>
      <c r="T169" s="46"/>
      <c r="U169" s="44" t="s">
        <v>96</v>
      </c>
      <c r="V169" s="46"/>
      <c r="W169" s="44"/>
      <c r="X169" s="44"/>
      <c r="Y169" s="44"/>
      <c r="Z169" s="44"/>
      <c r="AA169" s="44"/>
      <c r="AB169" s="42"/>
      <c r="AC169" s="47" t="s">
        <v>97</v>
      </c>
      <c r="AD169" s="48"/>
      <c r="AE169" s="43"/>
      <c r="AF169" s="43"/>
      <c r="AG169" s="43"/>
      <c r="AH169" s="43"/>
      <c r="AI169" s="55"/>
      <c r="AJ169" s="52"/>
      <c r="AT169" s="52"/>
      <c r="AU169" s="59"/>
      <c r="AV169" s="58"/>
      <c r="AW169" s="58"/>
      <c r="AX169" s="54" t="s">
        <v>69</v>
      </c>
      <c r="AY169" s="43" t="s">
        <v>70</v>
      </c>
      <c r="AZ169" s="43" t="s">
        <v>70</v>
      </c>
      <c r="BA169" s="43" t="s">
        <v>71</v>
      </c>
      <c r="BB169" s="43" t="s">
        <v>69</v>
      </c>
      <c r="BC169" s="51">
        <v>31</v>
      </c>
      <c r="BD169" s="43" t="s">
        <v>70</v>
      </c>
      <c r="BE169" s="9">
        <f t="shared" si="8"/>
        <v>160</v>
      </c>
      <c r="BF169" s="9" t="str">
        <f t="shared" si="7"/>
        <v>..</v>
      </c>
    </row>
    <row r="170" spans="1:58" ht="18" customHeight="1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1" t="s">
        <v>93</v>
      </c>
      <c r="N170" s="44"/>
      <c r="O170" s="44"/>
      <c r="P170" s="44"/>
      <c r="Q170" s="45"/>
      <c r="R170" s="46"/>
      <c r="S170" s="46"/>
      <c r="T170" s="46"/>
      <c r="U170" s="44" t="s">
        <v>96</v>
      </c>
      <c r="V170" s="46"/>
      <c r="W170" s="44"/>
      <c r="X170" s="44"/>
      <c r="Y170" s="44"/>
      <c r="Z170" s="44"/>
      <c r="AA170" s="44"/>
      <c r="AB170" s="42"/>
      <c r="AC170" s="47" t="s">
        <v>97</v>
      </c>
      <c r="AD170" s="48"/>
      <c r="AE170" s="43"/>
      <c r="AF170" s="43"/>
      <c r="AG170" s="43"/>
      <c r="AH170" s="43"/>
      <c r="AI170" s="55"/>
      <c r="AJ170" s="52"/>
      <c r="AT170" s="52"/>
      <c r="AU170" s="59"/>
      <c r="AV170" s="58"/>
      <c r="AW170" s="58"/>
      <c r="AX170" s="54" t="s">
        <v>69</v>
      </c>
      <c r="AY170" s="43" t="s">
        <v>70</v>
      </c>
      <c r="AZ170" s="43" t="s">
        <v>70</v>
      </c>
      <c r="BA170" s="43" t="s">
        <v>71</v>
      </c>
      <c r="BB170" s="43" t="s">
        <v>69</v>
      </c>
      <c r="BC170" s="51">
        <v>31</v>
      </c>
      <c r="BD170" s="43" t="s">
        <v>70</v>
      </c>
      <c r="BE170" s="9">
        <f t="shared" si="8"/>
        <v>161</v>
      </c>
      <c r="BF170" s="9" t="str">
        <f t="shared" si="7"/>
        <v>..</v>
      </c>
    </row>
    <row r="171" spans="1:58" ht="18" customHeight="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1" t="s">
        <v>93</v>
      </c>
      <c r="N171" s="44"/>
      <c r="O171" s="44"/>
      <c r="P171" s="44"/>
      <c r="Q171" s="45"/>
      <c r="R171" s="46"/>
      <c r="S171" s="46"/>
      <c r="T171" s="46"/>
      <c r="U171" s="44" t="s">
        <v>96</v>
      </c>
      <c r="V171" s="46"/>
      <c r="W171" s="44"/>
      <c r="X171" s="44"/>
      <c r="Y171" s="44"/>
      <c r="Z171" s="44"/>
      <c r="AA171" s="44"/>
      <c r="AB171" s="42"/>
      <c r="AC171" s="47" t="s">
        <v>97</v>
      </c>
      <c r="AD171" s="48"/>
      <c r="AE171" s="43"/>
      <c r="AF171" s="43"/>
      <c r="AG171" s="43"/>
      <c r="AH171" s="43"/>
      <c r="AI171" s="55"/>
      <c r="AJ171" s="52"/>
      <c r="AT171" s="52"/>
      <c r="AU171" s="59"/>
      <c r="AV171" s="58"/>
      <c r="AW171" s="58"/>
      <c r="AX171" s="54" t="s">
        <v>69</v>
      </c>
      <c r="AY171" s="43" t="s">
        <v>70</v>
      </c>
      <c r="AZ171" s="43" t="s">
        <v>70</v>
      </c>
      <c r="BA171" s="43" t="s">
        <v>71</v>
      </c>
      <c r="BB171" s="43" t="s">
        <v>69</v>
      </c>
      <c r="BC171" s="51">
        <v>31</v>
      </c>
      <c r="BD171" s="43" t="s">
        <v>70</v>
      </c>
      <c r="BE171" s="9">
        <f t="shared" si="8"/>
        <v>162</v>
      </c>
      <c r="BF171" s="9" t="str">
        <f t="shared" si="7"/>
        <v>..</v>
      </c>
    </row>
    <row r="172" spans="1:58" ht="18" customHeight="1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1" t="s">
        <v>93</v>
      </c>
      <c r="N172" s="44"/>
      <c r="O172" s="44"/>
      <c r="P172" s="44"/>
      <c r="Q172" s="45"/>
      <c r="R172" s="46"/>
      <c r="S172" s="46"/>
      <c r="T172" s="46"/>
      <c r="U172" s="44" t="s">
        <v>96</v>
      </c>
      <c r="V172" s="46"/>
      <c r="W172" s="44"/>
      <c r="X172" s="44"/>
      <c r="Y172" s="44"/>
      <c r="Z172" s="44"/>
      <c r="AA172" s="44"/>
      <c r="AB172" s="42"/>
      <c r="AC172" s="47" t="s">
        <v>97</v>
      </c>
      <c r="AD172" s="48"/>
      <c r="AE172" s="43"/>
      <c r="AF172" s="43"/>
      <c r="AG172" s="43"/>
      <c r="AH172" s="43"/>
      <c r="AI172" s="55"/>
      <c r="AJ172" s="52"/>
      <c r="AT172" s="52"/>
      <c r="AU172" s="59"/>
      <c r="AV172" s="58"/>
      <c r="AW172" s="58"/>
      <c r="AX172" s="54" t="s">
        <v>69</v>
      </c>
      <c r="AY172" s="43" t="s">
        <v>70</v>
      </c>
      <c r="AZ172" s="43" t="s">
        <v>70</v>
      </c>
      <c r="BA172" s="43" t="s">
        <v>71</v>
      </c>
      <c r="BB172" s="43" t="s">
        <v>69</v>
      </c>
      <c r="BC172" s="51">
        <v>31</v>
      </c>
      <c r="BD172" s="43" t="s">
        <v>70</v>
      </c>
      <c r="BE172" s="9">
        <f t="shared" si="8"/>
        <v>163</v>
      </c>
      <c r="BF172" s="9" t="str">
        <f t="shared" si="7"/>
        <v>..</v>
      </c>
    </row>
    <row r="173" spans="1:58" ht="18" customHeight="1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1" t="s">
        <v>93</v>
      </c>
      <c r="N173" s="44"/>
      <c r="O173" s="44"/>
      <c r="P173" s="44"/>
      <c r="Q173" s="45"/>
      <c r="R173" s="46"/>
      <c r="S173" s="46"/>
      <c r="T173" s="46"/>
      <c r="U173" s="44" t="s">
        <v>96</v>
      </c>
      <c r="V173" s="46"/>
      <c r="W173" s="44"/>
      <c r="X173" s="44"/>
      <c r="Y173" s="44"/>
      <c r="Z173" s="44"/>
      <c r="AA173" s="44"/>
      <c r="AB173" s="42"/>
      <c r="AC173" s="47" t="s">
        <v>97</v>
      </c>
      <c r="AD173" s="48"/>
      <c r="AE173" s="43"/>
      <c r="AF173" s="43"/>
      <c r="AG173" s="43"/>
      <c r="AH173" s="43"/>
      <c r="AI173" s="55"/>
      <c r="AJ173" s="52"/>
      <c r="AT173" s="52"/>
      <c r="AU173" s="59"/>
      <c r="AV173" s="58"/>
      <c r="AW173" s="58"/>
      <c r="AX173" s="54" t="s">
        <v>69</v>
      </c>
      <c r="AY173" s="43" t="s">
        <v>70</v>
      </c>
      <c r="AZ173" s="43" t="s">
        <v>70</v>
      </c>
      <c r="BA173" s="43" t="s">
        <v>71</v>
      </c>
      <c r="BB173" s="43" t="s">
        <v>69</v>
      </c>
      <c r="BC173" s="51">
        <v>31</v>
      </c>
      <c r="BD173" s="43" t="s">
        <v>70</v>
      </c>
      <c r="BE173" s="9">
        <f t="shared" si="8"/>
        <v>164</v>
      </c>
      <c r="BF173" s="9" t="str">
        <f t="shared" si="7"/>
        <v>..</v>
      </c>
    </row>
    <row r="174" spans="1:58" ht="18" customHeight="1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1" t="s">
        <v>93</v>
      </c>
      <c r="N174" s="44"/>
      <c r="O174" s="44"/>
      <c r="P174" s="44"/>
      <c r="Q174" s="45"/>
      <c r="R174" s="46"/>
      <c r="S174" s="46"/>
      <c r="T174" s="46"/>
      <c r="U174" s="44" t="s">
        <v>96</v>
      </c>
      <c r="V174" s="46"/>
      <c r="W174" s="44"/>
      <c r="X174" s="44"/>
      <c r="Y174" s="44"/>
      <c r="Z174" s="44"/>
      <c r="AA174" s="44"/>
      <c r="AB174" s="42"/>
      <c r="AC174" s="47" t="s">
        <v>97</v>
      </c>
      <c r="AD174" s="48"/>
      <c r="AE174" s="43"/>
      <c r="AF174" s="43"/>
      <c r="AG174" s="43"/>
      <c r="AH174" s="43"/>
      <c r="AI174" s="55"/>
      <c r="AJ174" s="52"/>
      <c r="AT174" s="52"/>
      <c r="AU174" s="59"/>
      <c r="AV174" s="58"/>
      <c r="AW174" s="58"/>
      <c r="AX174" s="54" t="s">
        <v>69</v>
      </c>
      <c r="AY174" s="43" t="s">
        <v>70</v>
      </c>
      <c r="AZ174" s="43" t="s">
        <v>70</v>
      </c>
      <c r="BA174" s="43" t="s">
        <v>71</v>
      </c>
      <c r="BB174" s="43" t="s">
        <v>69</v>
      </c>
      <c r="BC174" s="51">
        <v>31</v>
      </c>
      <c r="BD174" s="43" t="s">
        <v>70</v>
      </c>
      <c r="BE174" s="9">
        <f t="shared" si="8"/>
        <v>165</v>
      </c>
      <c r="BF174" s="9" t="str">
        <f t="shared" si="7"/>
        <v>..</v>
      </c>
    </row>
    <row r="175" spans="1:58" ht="18" customHeight="1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1" t="s">
        <v>93</v>
      </c>
      <c r="N175" s="44"/>
      <c r="O175" s="44"/>
      <c r="P175" s="44"/>
      <c r="Q175" s="45"/>
      <c r="R175" s="46"/>
      <c r="S175" s="46"/>
      <c r="T175" s="46"/>
      <c r="U175" s="44" t="s">
        <v>96</v>
      </c>
      <c r="V175" s="46"/>
      <c r="W175" s="44"/>
      <c r="X175" s="44"/>
      <c r="Y175" s="44"/>
      <c r="Z175" s="44"/>
      <c r="AA175" s="44"/>
      <c r="AB175" s="42"/>
      <c r="AC175" s="47" t="s">
        <v>97</v>
      </c>
      <c r="AD175" s="48"/>
      <c r="AE175" s="43"/>
      <c r="AF175" s="43"/>
      <c r="AG175" s="43"/>
      <c r="AH175" s="43"/>
      <c r="AI175" s="55"/>
      <c r="AJ175" s="52"/>
      <c r="AT175" s="52"/>
      <c r="AU175" s="59"/>
      <c r="AV175" s="58"/>
      <c r="AW175" s="58"/>
      <c r="AX175" s="54" t="s">
        <v>69</v>
      </c>
      <c r="AY175" s="43" t="s">
        <v>70</v>
      </c>
      <c r="AZ175" s="43" t="s">
        <v>70</v>
      </c>
      <c r="BA175" s="43" t="s">
        <v>71</v>
      </c>
      <c r="BB175" s="43" t="s">
        <v>69</v>
      </c>
      <c r="BC175" s="51">
        <v>31</v>
      </c>
      <c r="BD175" s="43" t="s">
        <v>70</v>
      </c>
      <c r="BE175" s="9">
        <f t="shared" si="8"/>
        <v>166</v>
      </c>
      <c r="BF175" s="9" t="str">
        <f t="shared" si="7"/>
        <v>..</v>
      </c>
    </row>
    <row r="176" spans="1:58" ht="18" customHeight="1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1" t="s">
        <v>93</v>
      </c>
      <c r="N176" s="44"/>
      <c r="O176" s="44"/>
      <c r="P176" s="44"/>
      <c r="Q176" s="45"/>
      <c r="R176" s="46"/>
      <c r="S176" s="46"/>
      <c r="T176" s="46"/>
      <c r="U176" s="44" t="s">
        <v>96</v>
      </c>
      <c r="V176" s="46"/>
      <c r="W176" s="44"/>
      <c r="X176" s="44"/>
      <c r="Y176" s="44"/>
      <c r="Z176" s="44"/>
      <c r="AA176" s="44"/>
      <c r="AB176" s="42"/>
      <c r="AC176" s="47" t="s">
        <v>97</v>
      </c>
      <c r="AD176" s="48"/>
      <c r="AE176" s="43"/>
      <c r="AF176" s="43"/>
      <c r="AG176" s="43"/>
      <c r="AH176" s="43"/>
      <c r="AI176" s="55"/>
      <c r="AJ176" s="52"/>
      <c r="AT176" s="52"/>
      <c r="AU176" s="59"/>
      <c r="AV176" s="58"/>
      <c r="AW176" s="58"/>
      <c r="AX176" s="54" t="s">
        <v>69</v>
      </c>
      <c r="AY176" s="43" t="s">
        <v>70</v>
      </c>
      <c r="AZ176" s="43" t="s">
        <v>70</v>
      </c>
      <c r="BA176" s="43" t="s">
        <v>71</v>
      </c>
      <c r="BB176" s="43" t="s">
        <v>69</v>
      </c>
      <c r="BC176" s="51">
        <v>31</v>
      </c>
      <c r="BD176" s="43" t="s">
        <v>70</v>
      </c>
      <c r="BE176" s="9">
        <f t="shared" si="8"/>
        <v>167</v>
      </c>
      <c r="BF176" s="9" t="str">
        <f t="shared" si="7"/>
        <v>..</v>
      </c>
    </row>
    <row r="177" spans="1:58" ht="18" customHeight="1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1" t="s">
        <v>93</v>
      </c>
      <c r="N177" s="44"/>
      <c r="O177" s="44"/>
      <c r="P177" s="44"/>
      <c r="Q177" s="45"/>
      <c r="R177" s="46"/>
      <c r="S177" s="46"/>
      <c r="T177" s="46"/>
      <c r="U177" s="44" t="s">
        <v>96</v>
      </c>
      <c r="V177" s="46"/>
      <c r="W177" s="44"/>
      <c r="X177" s="44"/>
      <c r="Y177" s="44"/>
      <c r="Z177" s="44"/>
      <c r="AA177" s="44"/>
      <c r="AB177" s="42"/>
      <c r="AC177" s="47" t="s">
        <v>97</v>
      </c>
      <c r="AD177" s="48"/>
      <c r="AE177" s="43"/>
      <c r="AF177" s="43"/>
      <c r="AG177" s="43"/>
      <c r="AH177" s="43"/>
      <c r="AI177" s="55"/>
      <c r="AJ177" s="52"/>
      <c r="AT177" s="52"/>
      <c r="AU177" s="59"/>
      <c r="AV177" s="58"/>
      <c r="AW177" s="58"/>
      <c r="AX177" s="54" t="s">
        <v>69</v>
      </c>
      <c r="AY177" s="43" t="s">
        <v>70</v>
      </c>
      <c r="AZ177" s="43" t="s">
        <v>70</v>
      </c>
      <c r="BA177" s="43" t="s">
        <v>71</v>
      </c>
      <c r="BB177" s="43" t="s">
        <v>69</v>
      </c>
      <c r="BC177" s="51">
        <v>31</v>
      </c>
      <c r="BD177" s="43" t="s">
        <v>70</v>
      </c>
      <c r="BE177" s="9">
        <f t="shared" si="8"/>
        <v>168</v>
      </c>
      <c r="BF177" s="9" t="str">
        <f t="shared" si="7"/>
        <v>..</v>
      </c>
    </row>
    <row r="178" spans="1:58" ht="18" customHeight="1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1" t="s">
        <v>93</v>
      </c>
      <c r="N178" s="44"/>
      <c r="O178" s="44"/>
      <c r="P178" s="44"/>
      <c r="Q178" s="45"/>
      <c r="R178" s="46"/>
      <c r="S178" s="46"/>
      <c r="T178" s="46"/>
      <c r="U178" s="44" t="s">
        <v>96</v>
      </c>
      <c r="V178" s="46"/>
      <c r="W178" s="44"/>
      <c r="X178" s="44"/>
      <c r="Y178" s="44"/>
      <c r="Z178" s="44"/>
      <c r="AA178" s="44"/>
      <c r="AB178" s="42"/>
      <c r="AC178" s="47" t="s">
        <v>97</v>
      </c>
      <c r="AD178" s="48"/>
      <c r="AE178" s="43"/>
      <c r="AF178" s="43"/>
      <c r="AG178" s="43"/>
      <c r="AH178" s="43"/>
      <c r="AI178" s="55"/>
      <c r="AJ178" s="52"/>
      <c r="AT178" s="52"/>
      <c r="AU178" s="59"/>
      <c r="AV178" s="58"/>
      <c r="AW178" s="58"/>
      <c r="AX178" s="54" t="s">
        <v>69</v>
      </c>
      <c r="AY178" s="43" t="s">
        <v>70</v>
      </c>
      <c r="AZ178" s="43" t="s">
        <v>70</v>
      </c>
      <c r="BA178" s="43" t="s">
        <v>71</v>
      </c>
      <c r="BB178" s="43" t="s">
        <v>69</v>
      </c>
      <c r="BC178" s="51">
        <v>31</v>
      </c>
      <c r="BD178" s="43" t="s">
        <v>70</v>
      </c>
      <c r="BE178" s="9">
        <f t="shared" si="8"/>
        <v>169</v>
      </c>
      <c r="BF178" s="9" t="str">
        <f t="shared" si="7"/>
        <v>..</v>
      </c>
    </row>
    <row r="179" spans="1:58" ht="18" customHeight="1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1" t="s">
        <v>93</v>
      </c>
      <c r="N179" s="44"/>
      <c r="O179" s="44"/>
      <c r="P179" s="44"/>
      <c r="Q179" s="45"/>
      <c r="R179" s="46"/>
      <c r="S179" s="46"/>
      <c r="T179" s="46"/>
      <c r="U179" s="44" t="s">
        <v>96</v>
      </c>
      <c r="V179" s="46"/>
      <c r="W179" s="44"/>
      <c r="X179" s="44"/>
      <c r="Y179" s="44"/>
      <c r="Z179" s="44"/>
      <c r="AA179" s="44"/>
      <c r="AB179" s="42"/>
      <c r="AC179" s="47" t="s">
        <v>97</v>
      </c>
      <c r="AD179" s="48"/>
      <c r="AE179" s="43"/>
      <c r="AF179" s="43"/>
      <c r="AG179" s="43"/>
      <c r="AH179" s="43"/>
      <c r="AI179" s="55"/>
      <c r="AJ179" s="52"/>
      <c r="AT179" s="52"/>
      <c r="AU179" s="59"/>
      <c r="AV179" s="58"/>
      <c r="AW179" s="58"/>
      <c r="AX179" s="54" t="s">
        <v>69</v>
      </c>
      <c r="AY179" s="43" t="s">
        <v>70</v>
      </c>
      <c r="AZ179" s="43" t="s">
        <v>70</v>
      </c>
      <c r="BA179" s="43" t="s">
        <v>71</v>
      </c>
      <c r="BB179" s="43" t="s">
        <v>69</v>
      </c>
      <c r="BC179" s="51">
        <v>31</v>
      </c>
      <c r="BD179" s="43" t="s">
        <v>70</v>
      </c>
      <c r="BE179" s="9">
        <f t="shared" si="8"/>
        <v>170</v>
      </c>
      <c r="BF179" s="9" t="str">
        <f t="shared" si="7"/>
        <v>..</v>
      </c>
    </row>
    <row r="180" spans="1:58" ht="18" customHeight="1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1" t="s">
        <v>93</v>
      </c>
      <c r="N180" s="44"/>
      <c r="O180" s="44"/>
      <c r="P180" s="44"/>
      <c r="Q180" s="45"/>
      <c r="R180" s="46"/>
      <c r="S180" s="46"/>
      <c r="T180" s="46"/>
      <c r="U180" s="44" t="s">
        <v>96</v>
      </c>
      <c r="V180" s="46"/>
      <c r="W180" s="44"/>
      <c r="X180" s="44"/>
      <c r="Y180" s="44"/>
      <c r="Z180" s="44"/>
      <c r="AA180" s="44"/>
      <c r="AB180" s="42"/>
      <c r="AC180" s="47" t="s">
        <v>97</v>
      </c>
      <c r="AD180" s="48"/>
      <c r="AE180" s="43"/>
      <c r="AF180" s="43"/>
      <c r="AG180" s="43"/>
      <c r="AH180" s="43"/>
      <c r="AI180" s="55"/>
      <c r="AJ180" s="52"/>
      <c r="AT180" s="52"/>
      <c r="AU180" s="59"/>
      <c r="AV180" s="58"/>
      <c r="AW180" s="58"/>
      <c r="AX180" s="54" t="s">
        <v>69</v>
      </c>
      <c r="AY180" s="43" t="s">
        <v>70</v>
      </c>
      <c r="AZ180" s="43" t="s">
        <v>70</v>
      </c>
      <c r="BA180" s="43" t="s">
        <v>71</v>
      </c>
      <c r="BB180" s="43" t="s">
        <v>69</v>
      </c>
      <c r="BC180" s="51">
        <v>31</v>
      </c>
      <c r="BD180" s="43" t="s">
        <v>70</v>
      </c>
      <c r="BE180" s="9">
        <f t="shared" si="8"/>
        <v>171</v>
      </c>
      <c r="BF180" s="9" t="str">
        <f t="shared" si="7"/>
        <v>..</v>
      </c>
    </row>
    <row r="181" spans="1:58" ht="18" customHeight="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1" t="s">
        <v>93</v>
      </c>
      <c r="N181" s="44"/>
      <c r="O181" s="44"/>
      <c r="P181" s="44"/>
      <c r="Q181" s="45"/>
      <c r="R181" s="46"/>
      <c r="S181" s="46"/>
      <c r="T181" s="46"/>
      <c r="U181" s="44" t="s">
        <v>96</v>
      </c>
      <c r="V181" s="46"/>
      <c r="W181" s="44"/>
      <c r="X181" s="44"/>
      <c r="Y181" s="44"/>
      <c r="Z181" s="44"/>
      <c r="AA181" s="44"/>
      <c r="AB181" s="42"/>
      <c r="AC181" s="47" t="s">
        <v>97</v>
      </c>
      <c r="AD181" s="48"/>
      <c r="AE181" s="43"/>
      <c r="AF181" s="43"/>
      <c r="AG181" s="43"/>
      <c r="AH181" s="43"/>
      <c r="AI181" s="55"/>
      <c r="AJ181" s="52"/>
      <c r="AT181" s="52"/>
      <c r="AU181" s="59"/>
      <c r="AV181" s="58"/>
      <c r="AW181" s="58"/>
      <c r="AX181" s="54" t="s">
        <v>69</v>
      </c>
      <c r="AY181" s="43" t="s">
        <v>70</v>
      </c>
      <c r="AZ181" s="43" t="s">
        <v>70</v>
      </c>
      <c r="BA181" s="43" t="s">
        <v>71</v>
      </c>
      <c r="BB181" s="43" t="s">
        <v>69</v>
      </c>
      <c r="BC181" s="51">
        <v>31</v>
      </c>
      <c r="BD181" s="43" t="s">
        <v>70</v>
      </c>
      <c r="BE181" s="9">
        <f t="shared" si="8"/>
        <v>172</v>
      </c>
      <c r="BF181" s="9" t="str">
        <f t="shared" si="7"/>
        <v>..</v>
      </c>
    </row>
    <row r="182" spans="1:58" ht="18" customHeight="1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1" t="s">
        <v>93</v>
      </c>
      <c r="N182" s="44"/>
      <c r="O182" s="44"/>
      <c r="P182" s="44"/>
      <c r="Q182" s="45"/>
      <c r="R182" s="46"/>
      <c r="S182" s="46"/>
      <c r="T182" s="46"/>
      <c r="U182" s="44" t="s">
        <v>96</v>
      </c>
      <c r="V182" s="46"/>
      <c r="W182" s="44"/>
      <c r="X182" s="44"/>
      <c r="Y182" s="44"/>
      <c r="Z182" s="44"/>
      <c r="AA182" s="44"/>
      <c r="AB182" s="42"/>
      <c r="AC182" s="47" t="s">
        <v>97</v>
      </c>
      <c r="AD182" s="48"/>
      <c r="AE182" s="43"/>
      <c r="AF182" s="43"/>
      <c r="AG182" s="43"/>
      <c r="AH182" s="43"/>
      <c r="AI182" s="55"/>
      <c r="AJ182" s="52"/>
      <c r="AT182" s="52"/>
      <c r="AU182" s="59"/>
      <c r="AV182" s="58"/>
      <c r="AW182" s="58"/>
      <c r="AX182" s="54" t="s">
        <v>69</v>
      </c>
      <c r="AY182" s="43" t="s">
        <v>70</v>
      </c>
      <c r="AZ182" s="43" t="s">
        <v>70</v>
      </c>
      <c r="BA182" s="43" t="s">
        <v>71</v>
      </c>
      <c r="BB182" s="43" t="s">
        <v>69</v>
      </c>
      <c r="BC182" s="51">
        <v>31</v>
      </c>
      <c r="BD182" s="43" t="s">
        <v>70</v>
      </c>
      <c r="BE182" s="9">
        <f t="shared" si="8"/>
        <v>173</v>
      </c>
      <c r="BF182" s="9" t="str">
        <f t="shared" si="7"/>
        <v>..</v>
      </c>
    </row>
    <row r="183" spans="1:58" ht="18" customHeight="1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1" t="s">
        <v>93</v>
      </c>
      <c r="N183" s="44"/>
      <c r="O183" s="44"/>
      <c r="P183" s="44"/>
      <c r="Q183" s="45"/>
      <c r="R183" s="46"/>
      <c r="S183" s="46"/>
      <c r="T183" s="46"/>
      <c r="U183" s="44" t="s">
        <v>96</v>
      </c>
      <c r="V183" s="46"/>
      <c r="W183" s="44"/>
      <c r="X183" s="44"/>
      <c r="Y183" s="44"/>
      <c r="Z183" s="44"/>
      <c r="AA183" s="44"/>
      <c r="AB183" s="42"/>
      <c r="AC183" s="47" t="s">
        <v>97</v>
      </c>
      <c r="AD183" s="48"/>
      <c r="AE183" s="43"/>
      <c r="AF183" s="43"/>
      <c r="AG183" s="43"/>
      <c r="AH183" s="43"/>
      <c r="AI183" s="55"/>
      <c r="AJ183" s="52"/>
      <c r="AT183" s="52"/>
      <c r="AU183" s="59"/>
      <c r="AV183" s="58"/>
      <c r="AW183" s="58"/>
      <c r="AX183" s="54" t="s">
        <v>69</v>
      </c>
      <c r="AY183" s="43" t="s">
        <v>70</v>
      </c>
      <c r="AZ183" s="43" t="s">
        <v>70</v>
      </c>
      <c r="BA183" s="43" t="s">
        <v>71</v>
      </c>
      <c r="BB183" s="43" t="s">
        <v>69</v>
      </c>
      <c r="BC183" s="51">
        <v>31</v>
      </c>
      <c r="BD183" s="43" t="s">
        <v>70</v>
      </c>
      <c r="BE183" s="9">
        <f t="shared" si="8"/>
        <v>174</v>
      </c>
      <c r="BF183" s="9" t="str">
        <f t="shared" si="7"/>
        <v>..</v>
      </c>
    </row>
    <row r="184" spans="1:58" ht="18" customHeight="1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1" t="s">
        <v>93</v>
      </c>
      <c r="N184" s="44"/>
      <c r="O184" s="44"/>
      <c r="P184" s="44"/>
      <c r="Q184" s="45"/>
      <c r="R184" s="46"/>
      <c r="S184" s="46"/>
      <c r="T184" s="46"/>
      <c r="U184" s="44" t="s">
        <v>96</v>
      </c>
      <c r="V184" s="46"/>
      <c r="W184" s="44"/>
      <c r="X184" s="44"/>
      <c r="Y184" s="44"/>
      <c r="Z184" s="44"/>
      <c r="AA184" s="44"/>
      <c r="AB184" s="42"/>
      <c r="AC184" s="47" t="s">
        <v>97</v>
      </c>
      <c r="AD184" s="48"/>
      <c r="AE184" s="43"/>
      <c r="AF184" s="43"/>
      <c r="AG184" s="43"/>
      <c r="AH184" s="43"/>
      <c r="AI184" s="55"/>
      <c r="AJ184" s="52"/>
      <c r="AT184" s="52"/>
      <c r="AU184" s="59"/>
      <c r="AV184" s="58"/>
      <c r="AW184" s="58"/>
      <c r="AX184" s="54" t="s">
        <v>69</v>
      </c>
      <c r="AY184" s="43" t="s">
        <v>70</v>
      </c>
      <c r="AZ184" s="43" t="s">
        <v>70</v>
      </c>
      <c r="BA184" s="43" t="s">
        <v>71</v>
      </c>
      <c r="BB184" s="43" t="s">
        <v>69</v>
      </c>
      <c r="BC184" s="51">
        <v>31</v>
      </c>
      <c r="BD184" s="43" t="s">
        <v>70</v>
      </c>
      <c r="BE184" s="9">
        <f t="shared" si="8"/>
        <v>175</v>
      </c>
      <c r="BF184" s="9" t="str">
        <f t="shared" si="7"/>
        <v>..</v>
      </c>
    </row>
    <row r="185" spans="1:58" ht="18" customHeight="1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1" t="s">
        <v>93</v>
      </c>
      <c r="N185" s="44"/>
      <c r="O185" s="44"/>
      <c r="P185" s="44"/>
      <c r="Q185" s="45"/>
      <c r="R185" s="46"/>
      <c r="S185" s="46"/>
      <c r="T185" s="46"/>
      <c r="U185" s="44" t="s">
        <v>96</v>
      </c>
      <c r="V185" s="46"/>
      <c r="W185" s="44"/>
      <c r="X185" s="44"/>
      <c r="Y185" s="44"/>
      <c r="Z185" s="44"/>
      <c r="AA185" s="44"/>
      <c r="AB185" s="42"/>
      <c r="AC185" s="47" t="s">
        <v>97</v>
      </c>
      <c r="AD185" s="48"/>
      <c r="AE185" s="43"/>
      <c r="AF185" s="43"/>
      <c r="AG185" s="43"/>
      <c r="AH185" s="43"/>
      <c r="AI185" s="55"/>
      <c r="AJ185" s="52"/>
      <c r="AT185" s="52"/>
      <c r="AU185" s="59"/>
      <c r="AV185" s="58"/>
      <c r="AW185" s="58"/>
      <c r="AX185" s="54" t="s">
        <v>69</v>
      </c>
      <c r="AY185" s="43" t="s">
        <v>70</v>
      </c>
      <c r="AZ185" s="43" t="s">
        <v>70</v>
      </c>
      <c r="BA185" s="43" t="s">
        <v>71</v>
      </c>
      <c r="BB185" s="43" t="s">
        <v>69</v>
      </c>
      <c r="BC185" s="51">
        <v>31</v>
      </c>
      <c r="BD185" s="43" t="s">
        <v>70</v>
      </c>
      <c r="BE185" s="9">
        <f t="shared" si="8"/>
        <v>176</v>
      </c>
      <c r="BF185" s="9" t="str">
        <f t="shared" si="7"/>
        <v>..</v>
      </c>
    </row>
    <row r="186" spans="1:58" ht="18" customHeight="1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1" t="s">
        <v>93</v>
      </c>
      <c r="N186" s="44"/>
      <c r="O186" s="44"/>
      <c r="P186" s="44"/>
      <c r="Q186" s="45"/>
      <c r="R186" s="46"/>
      <c r="S186" s="46"/>
      <c r="T186" s="46"/>
      <c r="U186" s="44" t="s">
        <v>96</v>
      </c>
      <c r="V186" s="46"/>
      <c r="W186" s="44"/>
      <c r="X186" s="44"/>
      <c r="Y186" s="44"/>
      <c r="Z186" s="44"/>
      <c r="AA186" s="44"/>
      <c r="AB186" s="42"/>
      <c r="AC186" s="47" t="s">
        <v>97</v>
      </c>
      <c r="AD186" s="48"/>
      <c r="AE186" s="43"/>
      <c r="AF186" s="43"/>
      <c r="AG186" s="43"/>
      <c r="AH186" s="43"/>
      <c r="AI186" s="55"/>
      <c r="AJ186" s="52"/>
      <c r="AT186" s="52"/>
      <c r="AU186" s="59"/>
      <c r="AV186" s="58"/>
      <c r="AW186" s="58"/>
      <c r="AX186" s="54" t="s">
        <v>69</v>
      </c>
      <c r="AY186" s="43" t="s">
        <v>70</v>
      </c>
      <c r="AZ186" s="43" t="s">
        <v>70</v>
      </c>
      <c r="BA186" s="43" t="s">
        <v>71</v>
      </c>
      <c r="BB186" s="43" t="s">
        <v>69</v>
      </c>
      <c r="BC186" s="51">
        <v>31</v>
      </c>
      <c r="BD186" s="43" t="s">
        <v>70</v>
      </c>
      <c r="BE186" s="9">
        <f t="shared" si="8"/>
        <v>177</v>
      </c>
      <c r="BF186" s="9" t="str">
        <f t="shared" si="7"/>
        <v>..</v>
      </c>
    </row>
    <row r="187" spans="1:58" ht="18" customHeight="1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1" t="s">
        <v>93</v>
      </c>
      <c r="N187" s="44"/>
      <c r="O187" s="44"/>
      <c r="P187" s="44"/>
      <c r="Q187" s="45"/>
      <c r="R187" s="46"/>
      <c r="S187" s="46"/>
      <c r="T187" s="46"/>
      <c r="U187" s="44" t="s">
        <v>96</v>
      </c>
      <c r="V187" s="46"/>
      <c r="W187" s="44"/>
      <c r="X187" s="44"/>
      <c r="Y187" s="44"/>
      <c r="Z187" s="44"/>
      <c r="AA187" s="44"/>
      <c r="AB187" s="42"/>
      <c r="AC187" s="47" t="s">
        <v>97</v>
      </c>
      <c r="AD187" s="48"/>
      <c r="AE187" s="43"/>
      <c r="AF187" s="43"/>
      <c r="AG187" s="43"/>
      <c r="AH187" s="43"/>
      <c r="AI187" s="55"/>
      <c r="AJ187" s="52"/>
      <c r="AT187" s="52"/>
      <c r="AU187" s="59"/>
      <c r="AV187" s="58"/>
      <c r="AW187" s="58"/>
      <c r="AX187" s="54" t="s">
        <v>69</v>
      </c>
      <c r="AY187" s="43" t="s">
        <v>70</v>
      </c>
      <c r="AZ187" s="43" t="s">
        <v>70</v>
      </c>
      <c r="BA187" s="43" t="s">
        <v>71</v>
      </c>
      <c r="BB187" s="43" t="s">
        <v>69</v>
      </c>
      <c r="BC187" s="51">
        <v>31</v>
      </c>
      <c r="BD187" s="43" t="s">
        <v>70</v>
      </c>
      <c r="BE187" s="9">
        <f t="shared" si="8"/>
        <v>178</v>
      </c>
      <c r="BF187" s="9" t="str">
        <f t="shared" ref="BF187:BF250" si="9">CONCATENATE(AB187,".",AD187,".",AJ187)</f>
        <v>..</v>
      </c>
    </row>
    <row r="188" spans="1:58" ht="18" customHeight="1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1" t="s">
        <v>93</v>
      </c>
      <c r="N188" s="44"/>
      <c r="O188" s="44"/>
      <c r="P188" s="44"/>
      <c r="Q188" s="45"/>
      <c r="R188" s="46"/>
      <c r="S188" s="46"/>
      <c r="T188" s="46"/>
      <c r="U188" s="44" t="s">
        <v>96</v>
      </c>
      <c r="V188" s="46"/>
      <c r="W188" s="44"/>
      <c r="X188" s="44"/>
      <c r="Y188" s="44"/>
      <c r="Z188" s="44"/>
      <c r="AA188" s="44"/>
      <c r="AB188" s="42"/>
      <c r="AC188" s="47" t="s">
        <v>97</v>
      </c>
      <c r="AD188" s="48"/>
      <c r="AE188" s="43"/>
      <c r="AF188" s="43"/>
      <c r="AG188" s="43"/>
      <c r="AH188" s="43"/>
      <c r="AI188" s="55"/>
      <c r="AJ188" s="52"/>
      <c r="AT188" s="52"/>
      <c r="AU188" s="59"/>
      <c r="AV188" s="58"/>
      <c r="AW188" s="58"/>
      <c r="AX188" s="54" t="s">
        <v>69</v>
      </c>
      <c r="AY188" s="43" t="s">
        <v>70</v>
      </c>
      <c r="AZ188" s="43" t="s">
        <v>70</v>
      </c>
      <c r="BA188" s="43" t="s">
        <v>71</v>
      </c>
      <c r="BB188" s="43" t="s">
        <v>69</v>
      </c>
      <c r="BC188" s="51">
        <v>31</v>
      </c>
      <c r="BD188" s="43" t="s">
        <v>70</v>
      </c>
      <c r="BE188" s="9">
        <f t="shared" si="8"/>
        <v>179</v>
      </c>
      <c r="BF188" s="9" t="str">
        <f t="shared" si="9"/>
        <v>..</v>
      </c>
    </row>
    <row r="189" spans="1:58" ht="18" customHeight="1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1" t="s">
        <v>93</v>
      </c>
      <c r="N189" s="44"/>
      <c r="O189" s="44"/>
      <c r="P189" s="44"/>
      <c r="Q189" s="45"/>
      <c r="R189" s="46"/>
      <c r="S189" s="46"/>
      <c r="T189" s="46"/>
      <c r="U189" s="44" t="s">
        <v>96</v>
      </c>
      <c r="V189" s="46"/>
      <c r="W189" s="44"/>
      <c r="X189" s="44"/>
      <c r="Y189" s="44"/>
      <c r="Z189" s="44"/>
      <c r="AA189" s="44"/>
      <c r="AB189" s="42"/>
      <c r="AC189" s="47" t="s">
        <v>97</v>
      </c>
      <c r="AD189" s="48"/>
      <c r="AE189" s="43"/>
      <c r="AF189" s="43"/>
      <c r="AG189" s="43"/>
      <c r="AH189" s="43"/>
      <c r="AI189" s="55"/>
      <c r="AJ189" s="52"/>
      <c r="AT189" s="52"/>
      <c r="AU189" s="59"/>
      <c r="AV189" s="58"/>
      <c r="AW189" s="58"/>
      <c r="AX189" s="54" t="s">
        <v>69</v>
      </c>
      <c r="AY189" s="43" t="s">
        <v>70</v>
      </c>
      <c r="AZ189" s="43" t="s">
        <v>70</v>
      </c>
      <c r="BA189" s="43" t="s">
        <v>71</v>
      </c>
      <c r="BB189" s="43" t="s">
        <v>69</v>
      </c>
      <c r="BC189" s="51">
        <v>31</v>
      </c>
      <c r="BD189" s="43" t="s">
        <v>70</v>
      </c>
      <c r="BE189" s="9">
        <f t="shared" si="8"/>
        <v>180</v>
      </c>
      <c r="BF189" s="9" t="str">
        <f t="shared" si="9"/>
        <v>..</v>
      </c>
    </row>
    <row r="190" spans="1:58" ht="18" customHeight="1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1" t="s">
        <v>93</v>
      </c>
      <c r="N190" s="44"/>
      <c r="O190" s="44"/>
      <c r="P190" s="44"/>
      <c r="Q190" s="45"/>
      <c r="R190" s="46"/>
      <c r="S190" s="46"/>
      <c r="T190" s="46"/>
      <c r="U190" s="44" t="s">
        <v>96</v>
      </c>
      <c r="V190" s="46"/>
      <c r="W190" s="44"/>
      <c r="X190" s="44"/>
      <c r="Y190" s="44"/>
      <c r="Z190" s="44"/>
      <c r="AA190" s="44"/>
      <c r="AB190" s="42"/>
      <c r="AC190" s="47" t="s">
        <v>97</v>
      </c>
      <c r="AD190" s="48"/>
      <c r="AE190" s="43"/>
      <c r="AF190" s="43"/>
      <c r="AG190" s="43"/>
      <c r="AH190" s="43"/>
      <c r="AI190" s="55"/>
      <c r="AJ190" s="52"/>
      <c r="AT190" s="52"/>
      <c r="AU190" s="59"/>
      <c r="AV190" s="58"/>
      <c r="AW190" s="58"/>
      <c r="AX190" s="54" t="s">
        <v>69</v>
      </c>
      <c r="AY190" s="43" t="s">
        <v>70</v>
      </c>
      <c r="AZ190" s="43" t="s">
        <v>70</v>
      </c>
      <c r="BA190" s="43" t="s">
        <v>71</v>
      </c>
      <c r="BB190" s="43" t="s">
        <v>69</v>
      </c>
      <c r="BC190" s="51">
        <v>31</v>
      </c>
      <c r="BD190" s="43" t="s">
        <v>70</v>
      </c>
      <c r="BE190" s="9">
        <f t="shared" si="8"/>
        <v>181</v>
      </c>
      <c r="BF190" s="9" t="str">
        <f t="shared" si="9"/>
        <v>..</v>
      </c>
    </row>
    <row r="191" spans="1:58" ht="18" customHeight="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1" t="s">
        <v>93</v>
      </c>
      <c r="N191" s="44"/>
      <c r="O191" s="44"/>
      <c r="P191" s="44"/>
      <c r="Q191" s="45"/>
      <c r="R191" s="46"/>
      <c r="S191" s="46"/>
      <c r="T191" s="46"/>
      <c r="U191" s="44" t="s">
        <v>96</v>
      </c>
      <c r="V191" s="46"/>
      <c r="W191" s="44"/>
      <c r="X191" s="44"/>
      <c r="Y191" s="44"/>
      <c r="Z191" s="44"/>
      <c r="AA191" s="44"/>
      <c r="AB191" s="42"/>
      <c r="AC191" s="47" t="s">
        <v>97</v>
      </c>
      <c r="AD191" s="48"/>
      <c r="AE191" s="43"/>
      <c r="AF191" s="43"/>
      <c r="AG191" s="43"/>
      <c r="AH191" s="43"/>
      <c r="AI191" s="55"/>
      <c r="AJ191" s="52"/>
      <c r="AT191" s="52"/>
      <c r="AU191" s="59"/>
      <c r="AV191" s="58"/>
      <c r="AW191" s="58"/>
      <c r="AX191" s="54" t="s">
        <v>69</v>
      </c>
      <c r="AY191" s="43" t="s">
        <v>70</v>
      </c>
      <c r="AZ191" s="43" t="s">
        <v>70</v>
      </c>
      <c r="BA191" s="43" t="s">
        <v>71</v>
      </c>
      <c r="BB191" s="43" t="s">
        <v>69</v>
      </c>
      <c r="BC191" s="51">
        <v>31</v>
      </c>
      <c r="BD191" s="43" t="s">
        <v>70</v>
      </c>
      <c r="BE191" s="9">
        <f t="shared" si="8"/>
        <v>182</v>
      </c>
      <c r="BF191" s="9" t="str">
        <f t="shared" si="9"/>
        <v>..</v>
      </c>
    </row>
    <row r="192" spans="1:58" ht="18" customHeight="1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1" t="s">
        <v>93</v>
      </c>
      <c r="N192" s="44"/>
      <c r="O192" s="44"/>
      <c r="P192" s="44"/>
      <c r="Q192" s="45"/>
      <c r="R192" s="46"/>
      <c r="S192" s="46"/>
      <c r="T192" s="46"/>
      <c r="U192" s="44" t="s">
        <v>96</v>
      </c>
      <c r="V192" s="46"/>
      <c r="W192" s="44"/>
      <c r="X192" s="44"/>
      <c r="Y192" s="44"/>
      <c r="Z192" s="44"/>
      <c r="AA192" s="44"/>
      <c r="AB192" s="42"/>
      <c r="AC192" s="47" t="s">
        <v>97</v>
      </c>
      <c r="AD192" s="48"/>
      <c r="AE192" s="43"/>
      <c r="AF192" s="43"/>
      <c r="AG192" s="43"/>
      <c r="AH192" s="43"/>
      <c r="AI192" s="55"/>
      <c r="AJ192" s="52"/>
      <c r="AT192" s="52"/>
      <c r="AU192" s="59"/>
      <c r="AV192" s="58"/>
      <c r="AW192" s="58"/>
      <c r="AX192" s="54" t="s">
        <v>69</v>
      </c>
      <c r="AY192" s="43" t="s">
        <v>70</v>
      </c>
      <c r="AZ192" s="43" t="s">
        <v>70</v>
      </c>
      <c r="BA192" s="43" t="s">
        <v>71</v>
      </c>
      <c r="BB192" s="43" t="s">
        <v>69</v>
      </c>
      <c r="BC192" s="51">
        <v>31</v>
      </c>
      <c r="BD192" s="43" t="s">
        <v>70</v>
      </c>
      <c r="BE192" s="9">
        <f t="shared" si="8"/>
        <v>183</v>
      </c>
      <c r="BF192" s="9" t="str">
        <f t="shared" si="9"/>
        <v>..</v>
      </c>
    </row>
    <row r="193" spans="1:58" ht="18" customHeight="1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1" t="s">
        <v>93</v>
      </c>
      <c r="N193" s="44"/>
      <c r="O193" s="44"/>
      <c r="P193" s="44"/>
      <c r="Q193" s="45"/>
      <c r="R193" s="46"/>
      <c r="S193" s="46"/>
      <c r="T193" s="46"/>
      <c r="U193" s="44" t="s">
        <v>96</v>
      </c>
      <c r="V193" s="46"/>
      <c r="W193" s="44"/>
      <c r="X193" s="44"/>
      <c r="Y193" s="44"/>
      <c r="Z193" s="44"/>
      <c r="AA193" s="44"/>
      <c r="AB193" s="42"/>
      <c r="AC193" s="47" t="s">
        <v>97</v>
      </c>
      <c r="AD193" s="48"/>
      <c r="AE193" s="43"/>
      <c r="AF193" s="43"/>
      <c r="AG193" s="43"/>
      <c r="AH193" s="43"/>
      <c r="AI193" s="55"/>
      <c r="AJ193" s="52"/>
      <c r="AT193" s="52"/>
      <c r="AU193" s="59"/>
      <c r="AV193" s="58"/>
      <c r="AW193" s="58"/>
      <c r="AX193" s="54" t="s">
        <v>69</v>
      </c>
      <c r="AY193" s="43" t="s">
        <v>70</v>
      </c>
      <c r="AZ193" s="43" t="s">
        <v>70</v>
      </c>
      <c r="BA193" s="43" t="s">
        <v>71</v>
      </c>
      <c r="BB193" s="43" t="s">
        <v>69</v>
      </c>
      <c r="BC193" s="51">
        <v>31</v>
      </c>
      <c r="BD193" s="43" t="s">
        <v>70</v>
      </c>
      <c r="BE193" s="9">
        <f t="shared" si="8"/>
        <v>184</v>
      </c>
      <c r="BF193" s="9" t="str">
        <f t="shared" si="9"/>
        <v>..</v>
      </c>
    </row>
    <row r="194" spans="1:58" ht="18" customHeight="1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1" t="s">
        <v>93</v>
      </c>
      <c r="N194" s="44"/>
      <c r="O194" s="44"/>
      <c r="P194" s="44"/>
      <c r="Q194" s="45"/>
      <c r="R194" s="46"/>
      <c r="S194" s="46"/>
      <c r="T194" s="46"/>
      <c r="U194" s="44" t="s">
        <v>96</v>
      </c>
      <c r="V194" s="46"/>
      <c r="W194" s="44"/>
      <c r="X194" s="44"/>
      <c r="Y194" s="44"/>
      <c r="Z194" s="44"/>
      <c r="AA194" s="44"/>
      <c r="AB194" s="42"/>
      <c r="AC194" s="47" t="s">
        <v>97</v>
      </c>
      <c r="AD194" s="48"/>
      <c r="AE194" s="43"/>
      <c r="AF194" s="43"/>
      <c r="AG194" s="43"/>
      <c r="AH194" s="43"/>
      <c r="AI194" s="55"/>
      <c r="AJ194" s="52"/>
      <c r="AT194" s="52"/>
      <c r="AU194" s="59"/>
      <c r="AV194" s="58"/>
      <c r="AW194" s="58"/>
      <c r="AX194" s="54" t="s">
        <v>69</v>
      </c>
      <c r="AY194" s="43" t="s">
        <v>70</v>
      </c>
      <c r="AZ194" s="43" t="s">
        <v>70</v>
      </c>
      <c r="BA194" s="43" t="s">
        <v>71</v>
      </c>
      <c r="BB194" s="43" t="s">
        <v>69</v>
      </c>
      <c r="BC194" s="51">
        <v>31</v>
      </c>
      <c r="BD194" s="43" t="s">
        <v>70</v>
      </c>
      <c r="BE194" s="9">
        <f t="shared" si="8"/>
        <v>185</v>
      </c>
      <c r="BF194" s="9" t="str">
        <f t="shared" si="9"/>
        <v>..</v>
      </c>
    </row>
    <row r="195" spans="1:58" ht="18" customHeight="1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1" t="s">
        <v>93</v>
      </c>
      <c r="N195" s="44"/>
      <c r="O195" s="44"/>
      <c r="P195" s="44"/>
      <c r="Q195" s="45"/>
      <c r="R195" s="46"/>
      <c r="S195" s="46"/>
      <c r="T195" s="46"/>
      <c r="U195" s="44" t="s">
        <v>96</v>
      </c>
      <c r="V195" s="46"/>
      <c r="W195" s="44"/>
      <c r="X195" s="44"/>
      <c r="Y195" s="44"/>
      <c r="Z195" s="44"/>
      <c r="AA195" s="44"/>
      <c r="AB195" s="42"/>
      <c r="AC195" s="47" t="s">
        <v>97</v>
      </c>
      <c r="AD195" s="48"/>
      <c r="AE195" s="43"/>
      <c r="AF195" s="43"/>
      <c r="AG195" s="43"/>
      <c r="AH195" s="43"/>
      <c r="AI195" s="55"/>
      <c r="AJ195" s="52"/>
      <c r="AT195" s="52"/>
      <c r="AU195" s="59"/>
      <c r="AV195" s="58"/>
      <c r="AW195" s="58"/>
      <c r="AX195" s="54" t="s">
        <v>69</v>
      </c>
      <c r="AY195" s="43" t="s">
        <v>70</v>
      </c>
      <c r="AZ195" s="43" t="s">
        <v>70</v>
      </c>
      <c r="BA195" s="43" t="s">
        <v>71</v>
      </c>
      <c r="BB195" s="43" t="s">
        <v>69</v>
      </c>
      <c r="BC195" s="51">
        <v>31</v>
      </c>
      <c r="BD195" s="43" t="s">
        <v>70</v>
      </c>
      <c r="BE195" s="9">
        <f t="shared" si="8"/>
        <v>186</v>
      </c>
      <c r="BF195" s="9" t="str">
        <f t="shared" si="9"/>
        <v>..</v>
      </c>
    </row>
    <row r="196" spans="1:58" ht="18" customHeight="1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1" t="s">
        <v>93</v>
      </c>
      <c r="N196" s="44"/>
      <c r="O196" s="44"/>
      <c r="P196" s="44"/>
      <c r="Q196" s="45"/>
      <c r="R196" s="46"/>
      <c r="S196" s="46"/>
      <c r="T196" s="46"/>
      <c r="U196" s="44" t="s">
        <v>96</v>
      </c>
      <c r="V196" s="46"/>
      <c r="W196" s="44"/>
      <c r="X196" s="44"/>
      <c r="Y196" s="44"/>
      <c r="Z196" s="44"/>
      <c r="AA196" s="44"/>
      <c r="AB196" s="42"/>
      <c r="AC196" s="47" t="s">
        <v>97</v>
      </c>
      <c r="AD196" s="48"/>
      <c r="AE196" s="43"/>
      <c r="AF196" s="43"/>
      <c r="AG196" s="43"/>
      <c r="AH196" s="43"/>
      <c r="AI196" s="55"/>
      <c r="AJ196" s="52"/>
      <c r="AT196" s="52"/>
      <c r="AU196" s="59"/>
      <c r="AV196" s="58"/>
      <c r="AW196" s="58"/>
      <c r="AX196" s="54" t="s">
        <v>69</v>
      </c>
      <c r="AY196" s="43" t="s">
        <v>70</v>
      </c>
      <c r="AZ196" s="43" t="s">
        <v>70</v>
      </c>
      <c r="BA196" s="43" t="s">
        <v>71</v>
      </c>
      <c r="BB196" s="43" t="s">
        <v>69</v>
      </c>
      <c r="BC196" s="51">
        <v>31</v>
      </c>
      <c r="BD196" s="43" t="s">
        <v>70</v>
      </c>
      <c r="BE196" s="9">
        <f t="shared" si="8"/>
        <v>187</v>
      </c>
      <c r="BF196" s="9" t="str">
        <f t="shared" si="9"/>
        <v>..</v>
      </c>
    </row>
    <row r="197" spans="1:58" ht="18" customHeight="1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1" t="s">
        <v>93</v>
      </c>
      <c r="N197" s="44"/>
      <c r="O197" s="44"/>
      <c r="P197" s="44"/>
      <c r="Q197" s="45"/>
      <c r="R197" s="46"/>
      <c r="S197" s="46"/>
      <c r="T197" s="46"/>
      <c r="U197" s="44" t="s">
        <v>96</v>
      </c>
      <c r="V197" s="46"/>
      <c r="W197" s="44"/>
      <c r="X197" s="44"/>
      <c r="Y197" s="44"/>
      <c r="Z197" s="44"/>
      <c r="AA197" s="44"/>
      <c r="AB197" s="42"/>
      <c r="AC197" s="47" t="s">
        <v>97</v>
      </c>
      <c r="AD197" s="48"/>
      <c r="AE197" s="43"/>
      <c r="AF197" s="43"/>
      <c r="AG197" s="43"/>
      <c r="AH197" s="43"/>
      <c r="AI197" s="55"/>
      <c r="AJ197" s="52"/>
      <c r="AT197" s="52"/>
      <c r="AU197" s="59"/>
      <c r="AV197" s="58"/>
      <c r="AW197" s="58"/>
      <c r="AX197" s="54" t="s">
        <v>69</v>
      </c>
      <c r="AY197" s="43" t="s">
        <v>70</v>
      </c>
      <c r="AZ197" s="43" t="s">
        <v>70</v>
      </c>
      <c r="BA197" s="43" t="s">
        <v>71</v>
      </c>
      <c r="BB197" s="43" t="s">
        <v>69</v>
      </c>
      <c r="BC197" s="51">
        <v>31</v>
      </c>
      <c r="BD197" s="43" t="s">
        <v>70</v>
      </c>
      <c r="BE197" s="9">
        <f t="shared" si="8"/>
        <v>188</v>
      </c>
      <c r="BF197" s="9" t="str">
        <f t="shared" si="9"/>
        <v>..</v>
      </c>
    </row>
    <row r="198" spans="1:58" ht="18" customHeight="1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1" t="s">
        <v>93</v>
      </c>
      <c r="N198" s="44"/>
      <c r="O198" s="44"/>
      <c r="P198" s="44"/>
      <c r="Q198" s="45"/>
      <c r="R198" s="46"/>
      <c r="S198" s="46"/>
      <c r="T198" s="46"/>
      <c r="U198" s="44" t="s">
        <v>96</v>
      </c>
      <c r="V198" s="46"/>
      <c r="W198" s="44"/>
      <c r="X198" s="44"/>
      <c r="Y198" s="44"/>
      <c r="Z198" s="44"/>
      <c r="AA198" s="44"/>
      <c r="AB198" s="42"/>
      <c r="AC198" s="47" t="s">
        <v>97</v>
      </c>
      <c r="AD198" s="48"/>
      <c r="AE198" s="43"/>
      <c r="AF198" s="43"/>
      <c r="AG198" s="43"/>
      <c r="AH198" s="43"/>
      <c r="AI198" s="55"/>
      <c r="AJ198" s="52"/>
      <c r="AT198" s="52"/>
      <c r="AU198" s="59"/>
      <c r="AV198" s="58"/>
      <c r="AW198" s="58"/>
      <c r="AX198" s="54" t="s">
        <v>69</v>
      </c>
      <c r="AY198" s="43" t="s">
        <v>70</v>
      </c>
      <c r="AZ198" s="43" t="s">
        <v>70</v>
      </c>
      <c r="BA198" s="43" t="s">
        <v>71</v>
      </c>
      <c r="BB198" s="43" t="s">
        <v>69</v>
      </c>
      <c r="BC198" s="51">
        <v>31</v>
      </c>
      <c r="BD198" s="43" t="s">
        <v>70</v>
      </c>
      <c r="BE198" s="9">
        <f t="shared" si="8"/>
        <v>189</v>
      </c>
      <c r="BF198" s="9" t="str">
        <f t="shared" si="9"/>
        <v>..</v>
      </c>
    </row>
    <row r="199" spans="1:58" ht="18" customHeight="1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1" t="s">
        <v>93</v>
      </c>
      <c r="N199" s="44"/>
      <c r="O199" s="44"/>
      <c r="P199" s="44"/>
      <c r="Q199" s="45"/>
      <c r="R199" s="46"/>
      <c r="S199" s="46"/>
      <c r="T199" s="46"/>
      <c r="U199" s="44" t="s">
        <v>96</v>
      </c>
      <c r="V199" s="46"/>
      <c r="W199" s="44"/>
      <c r="X199" s="44"/>
      <c r="Y199" s="44"/>
      <c r="Z199" s="44"/>
      <c r="AA199" s="44"/>
      <c r="AB199" s="42"/>
      <c r="AC199" s="47" t="s">
        <v>97</v>
      </c>
      <c r="AD199" s="48"/>
      <c r="AE199" s="43"/>
      <c r="AF199" s="43"/>
      <c r="AG199" s="43"/>
      <c r="AH199" s="43"/>
      <c r="AI199" s="55"/>
      <c r="AJ199" s="52"/>
      <c r="AT199" s="52"/>
      <c r="AU199" s="59"/>
      <c r="AV199" s="58"/>
      <c r="AW199" s="58"/>
      <c r="AX199" s="54" t="s">
        <v>69</v>
      </c>
      <c r="AY199" s="43" t="s">
        <v>70</v>
      </c>
      <c r="AZ199" s="43" t="s">
        <v>70</v>
      </c>
      <c r="BA199" s="43" t="s">
        <v>71</v>
      </c>
      <c r="BB199" s="43" t="s">
        <v>69</v>
      </c>
      <c r="BC199" s="51">
        <v>31</v>
      </c>
      <c r="BD199" s="43" t="s">
        <v>70</v>
      </c>
      <c r="BE199" s="9">
        <f t="shared" si="8"/>
        <v>190</v>
      </c>
      <c r="BF199" s="9" t="str">
        <f t="shared" si="9"/>
        <v>..</v>
      </c>
    </row>
    <row r="200" spans="1:58" ht="18" customHeight="1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1" t="s">
        <v>93</v>
      </c>
      <c r="N200" s="44"/>
      <c r="O200" s="44"/>
      <c r="P200" s="44"/>
      <c r="Q200" s="45"/>
      <c r="R200" s="46"/>
      <c r="S200" s="46"/>
      <c r="T200" s="46"/>
      <c r="U200" s="44" t="s">
        <v>96</v>
      </c>
      <c r="V200" s="46"/>
      <c r="W200" s="44"/>
      <c r="X200" s="44"/>
      <c r="Y200" s="44"/>
      <c r="Z200" s="44"/>
      <c r="AA200" s="44"/>
      <c r="AB200" s="42"/>
      <c r="AC200" s="47" t="s">
        <v>97</v>
      </c>
      <c r="AD200" s="48"/>
      <c r="AE200" s="43"/>
      <c r="AF200" s="43"/>
      <c r="AG200" s="43"/>
      <c r="AH200" s="43"/>
      <c r="AI200" s="55"/>
      <c r="AJ200" s="52"/>
      <c r="AT200" s="52"/>
      <c r="AU200" s="59"/>
      <c r="AV200" s="58"/>
      <c r="AW200" s="58"/>
      <c r="AX200" s="54" t="s">
        <v>69</v>
      </c>
      <c r="AY200" s="43" t="s">
        <v>70</v>
      </c>
      <c r="AZ200" s="43" t="s">
        <v>70</v>
      </c>
      <c r="BA200" s="43" t="s">
        <v>71</v>
      </c>
      <c r="BB200" s="43" t="s">
        <v>69</v>
      </c>
      <c r="BC200" s="51">
        <v>31</v>
      </c>
      <c r="BD200" s="43" t="s">
        <v>70</v>
      </c>
      <c r="BE200" s="9">
        <f t="shared" si="8"/>
        <v>191</v>
      </c>
      <c r="BF200" s="9" t="str">
        <f t="shared" si="9"/>
        <v>..</v>
      </c>
    </row>
    <row r="201" spans="1:58" ht="18" customHeight="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1" t="s">
        <v>93</v>
      </c>
      <c r="N201" s="44"/>
      <c r="O201" s="44"/>
      <c r="P201" s="44"/>
      <c r="Q201" s="45"/>
      <c r="R201" s="46"/>
      <c r="S201" s="46"/>
      <c r="T201" s="46"/>
      <c r="U201" s="44" t="s">
        <v>96</v>
      </c>
      <c r="V201" s="46"/>
      <c r="W201" s="44"/>
      <c r="X201" s="44"/>
      <c r="Y201" s="44"/>
      <c r="Z201" s="44"/>
      <c r="AA201" s="44"/>
      <c r="AB201" s="42"/>
      <c r="AC201" s="47" t="s">
        <v>97</v>
      </c>
      <c r="AD201" s="48"/>
      <c r="AE201" s="43"/>
      <c r="AF201" s="43"/>
      <c r="AG201" s="43"/>
      <c r="AH201" s="43"/>
      <c r="AI201" s="55"/>
      <c r="AJ201" s="52"/>
      <c r="AT201" s="52"/>
      <c r="AU201" s="59"/>
      <c r="AV201" s="58"/>
      <c r="AW201" s="58"/>
      <c r="AX201" s="54" t="s">
        <v>69</v>
      </c>
      <c r="AY201" s="43" t="s">
        <v>70</v>
      </c>
      <c r="AZ201" s="43" t="s">
        <v>70</v>
      </c>
      <c r="BA201" s="43" t="s">
        <v>71</v>
      </c>
      <c r="BB201" s="43" t="s">
        <v>69</v>
      </c>
      <c r="BC201" s="51">
        <v>31</v>
      </c>
      <c r="BD201" s="43" t="s">
        <v>70</v>
      </c>
      <c r="BE201" s="9">
        <f t="shared" si="8"/>
        <v>192</v>
      </c>
      <c r="BF201" s="9" t="str">
        <f t="shared" si="9"/>
        <v>..</v>
      </c>
    </row>
    <row r="202" spans="1:58" ht="18" customHeight="1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1" t="s">
        <v>93</v>
      </c>
      <c r="N202" s="44"/>
      <c r="O202" s="44"/>
      <c r="P202" s="44"/>
      <c r="Q202" s="45"/>
      <c r="R202" s="46"/>
      <c r="S202" s="46"/>
      <c r="T202" s="46"/>
      <c r="U202" s="44" t="s">
        <v>96</v>
      </c>
      <c r="V202" s="46"/>
      <c r="W202" s="44"/>
      <c r="X202" s="44"/>
      <c r="Y202" s="44"/>
      <c r="Z202" s="44"/>
      <c r="AA202" s="44"/>
      <c r="AB202" s="42"/>
      <c r="AC202" s="47" t="s">
        <v>97</v>
      </c>
      <c r="AD202" s="48"/>
      <c r="AE202" s="43"/>
      <c r="AF202" s="43"/>
      <c r="AG202" s="43"/>
      <c r="AH202" s="43"/>
      <c r="AI202" s="55"/>
      <c r="AJ202" s="52"/>
      <c r="AT202" s="52"/>
      <c r="AU202" s="59"/>
      <c r="AV202" s="58"/>
      <c r="AW202" s="58"/>
      <c r="AX202" s="54" t="s">
        <v>69</v>
      </c>
      <c r="AY202" s="43" t="s">
        <v>70</v>
      </c>
      <c r="AZ202" s="43" t="s">
        <v>70</v>
      </c>
      <c r="BA202" s="43" t="s">
        <v>71</v>
      </c>
      <c r="BB202" s="43" t="s">
        <v>69</v>
      </c>
      <c r="BC202" s="51">
        <v>31</v>
      </c>
      <c r="BD202" s="43" t="s">
        <v>70</v>
      </c>
      <c r="BE202" s="9">
        <f t="shared" si="8"/>
        <v>193</v>
      </c>
      <c r="BF202" s="9" t="str">
        <f t="shared" si="9"/>
        <v>..</v>
      </c>
    </row>
    <row r="203" spans="1:58" ht="18" customHeight="1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1" t="s">
        <v>93</v>
      </c>
      <c r="N203" s="44"/>
      <c r="O203" s="44"/>
      <c r="P203" s="44"/>
      <c r="Q203" s="45"/>
      <c r="R203" s="46"/>
      <c r="S203" s="46"/>
      <c r="T203" s="46"/>
      <c r="U203" s="44" t="s">
        <v>96</v>
      </c>
      <c r="V203" s="46"/>
      <c r="W203" s="44"/>
      <c r="X203" s="44"/>
      <c r="Y203" s="44"/>
      <c r="Z203" s="44"/>
      <c r="AA203" s="44"/>
      <c r="AB203" s="42"/>
      <c r="AC203" s="47" t="s">
        <v>97</v>
      </c>
      <c r="AD203" s="48"/>
      <c r="AE203" s="43"/>
      <c r="AF203" s="43"/>
      <c r="AG203" s="43"/>
      <c r="AH203" s="43"/>
      <c r="AI203" s="55"/>
      <c r="AJ203" s="52"/>
      <c r="AT203" s="52"/>
      <c r="AU203" s="59"/>
      <c r="AV203" s="58"/>
      <c r="AW203" s="58"/>
      <c r="AX203" s="54" t="s">
        <v>69</v>
      </c>
      <c r="AY203" s="43" t="s">
        <v>70</v>
      </c>
      <c r="AZ203" s="43" t="s">
        <v>70</v>
      </c>
      <c r="BA203" s="43" t="s">
        <v>71</v>
      </c>
      <c r="BB203" s="43" t="s">
        <v>69</v>
      </c>
      <c r="BC203" s="51">
        <v>31</v>
      </c>
      <c r="BD203" s="43" t="s">
        <v>70</v>
      </c>
      <c r="BE203" s="9">
        <f t="shared" si="8"/>
        <v>194</v>
      </c>
      <c r="BF203" s="9" t="str">
        <f t="shared" si="9"/>
        <v>..</v>
      </c>
    </row>
    <row r="204" spans="1:58" ht="18" customHeight="1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1" t="s">
        <v>93</v>
      </c>
      <c r="N204" s="44"/>
      <c r="O204" s="44"/>
      <c r="P204" s="44"/>
      <c r="Q204" s="45"/>
      <c r="R204" s="46"/>
      <c r="S204" s="46"/>
      <c r="T204" s="46"/>
      <c r="U204" s="44" t="s">
        <v>96</v>
      </c>
      <c r="V204" s="46"/>
      <c r="W204" s="44"/>
      <c r="X204" s="44"/>
      <c r="Y204" s="44"/>
      <c r="Z204" s="44"/>
      <c r="AA204" s="44"/>
      <c r="AB204" s="42"/>
      <c r="AC204" s="47" t="s">
        <v>97</v>
      </c>
      <c r="AD204" s="48"/>
      <c r="AE204" s="43"/>
      <c r="AF204" s="43"/>
      <c r="AG204" s="43"/>
      <c r="AH204" s="43"/>
      <c r="AI204" s="55"/>
      <c r="AJ204" s="52"/>
      <c r="AT204" s="52"/>
      <c r="AU204" s="59"/>
      <c r="AV204" s="58"/>
      <c r="AW204" s="58"/>
      <c r="AX204" s="54" t="s">
        <v>69</v>
      </c>
      <c r="AY204" s="43" t="s">
        <v>70</v>
      </c>
      <c r="AZ204" s="43" t="s">
        <v>70</v>
      </c>
      <c r="BA204" s="43" t="s">
        <v>71</v>
      </c>
      <c r="BB204" s="43" t="s">
        <v>69</v>
      </c>
      <c r="BC204" s="51">
        <v>31</v>
      </c>
      <c r="BD204" s="43" t="s">
        <v>70</v>
      </c>
      <c r="BE204" s="9">
        <f t="shared" si="8"/>
        <v>195</v>
      </c>
      <c r="BF204" s="9" t="str">
        <f t="shared" si="9"/>
        <v>..</v>
      </c>
    </row>
    <row r="205" spans="1:58" ht="18" customHeight="1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1" t="s">
        <v>93</v>
      </c>
      <c r="N205" s="44"/>
      <c r="O205" s="44"/>
      <c r="P205" s="44"/>
      <c r="Q205" s="45"/>
      <c r="R205" s="46"/>
      <c r="S205" s="46"/>
      <c r="T205" s="46"/>
      <c r="U205" s="44" t="s">
        <v>96</v>
      </c>
      <c r="V205" s="46"/>
      <c r="W205" s="44"/>
      <c r="X205" s="44"/>
      <c r="Y205" s="44"/>
      <c r="Z205" s="44"/>
      <c r="AA205" s="44"/>
      <c r="AB205" s="42"/>
      <c r="AC205" s="47" t="s">
        <v>97</v>
      </c>
      <c r="AD205" s="48"/>
      <c r="AE205" s="43"/>
      <c r="AF205" s="43"/>
      <c r="AG205" s="43"/>
      <c r="AH205" s="43"/>
      <c r="AI205" s="55"/>
      <c r="AJ205" s="52"/>
      <c r="AT205" s="52"/>
      <c r="AU205" s="59"/>
      <c r="AV205" s="58"/>
      <c r="AW205" s="58"/>
      <c r="AX205" s="54" t="s">
        <v>69</v>
      </c>
      <c r="AY205" s="43" t="s">
        <v>70</v>
      </c>
      <c r="AZ205" s="43" t="s">
        <v>70</v>
      </c>
      <c r="BA205" s="43" t="s">
        <v>71</v>
      </c>
      <c r="BB205" s="43" t="s">
        <v>69</v>
      </c>
      <c r="BC205" s="51">
        <v>31</v>
      </c>
      <c r="BD205" s="43" t="s">
        <v>70</v>
      </c>
      <c r="BE205" s="9">
        <f t="shared" si="8"/>
        <v>196</v>
      </c>
      <c r="BF205" s="9" t="str">
        <f t="shared" si="9"/>
        <v>..</v>
      </c>
    </row>
    <row r="206" spans="1:58" ht="18" customHeight="1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1" t="s">
        <v>93</v>
      </c>
      <c r="N206" s="44"/>
      <c r="O206" s="44"/>
      <c r="P206" s="44"/>
      <c r="Q206" s="45"/>
      <c r="R206" s="46"/>
      <c r="S206" s="46"/>
      <c r="T206" s="46"/>
      <c r="U206" s="44" t="s">
        <v>96</v>
      </c>
      <c r="V206" s="46"/>
      <c r="W206" s="44"/>
      <c r="X206" s="44"/>
      <c r="Y206" s="44"/>
      <c r="Z206" s="44"/>
      <c r="AA206" s="44"/>
      <c r="AB206" s="42"/>
      <c r="AC206" s="47" t="s">
        <v>97</v>
      </c>
      <c r="AD206" s="48"/>
      <c r="AE206" s="43"/>
      <c r="AF206" s="43"/>
      <c r="AG206" s="43"/>
      <c r="AH206" s="43"/>
      <c r="AI206" s="55"/>
      <c r="AJ206" s="52"/>
      <c r="AT206" s="52"/>
      <c r="AU206" s="59"/>
      <c r="AV206" s="58"/>
      <c r="AW206" s="58"/>
      <c r="AX206" s="54" t="s">
        <v>69</v>
      </c>
      <c r="AY206" s="43" t="s">
        <v>70</v>
      </c>
      <c r="AZ206" s="43" t="s">
        <v>70</v>
      </c>
      <c r="BA206" s="43" t="s">
        <v>71</v>
      </c>
      <c r="BB206" s="43" t="s">
        <v>69</v>
      </c>
      <c r="BC206" s="51">
        <v>31</v>
      </c>
      <c r="BD206" s="43" t="s">
        <v>70</v>
      </c>
      <c r="BE206" s="9">
        <f t="shared" si="8"/>
        <v>197</v>
      </c>
      <c r="BF206" s="9" t="str">
        <f t="shared" si="9"/>
        <v>..</v>
      </c>
    </row>
    <row r="207" spans="1:58" ht="18" customHeight="1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1" t="s">
        <v>93</v>
      </c>
      <c r="N207" s="44"/>
      <c r="O207" s="44"/>
      <c r="P207" s="44"/>
      <c r="Q207" s="45"/>
      <c r="R207" s="46"/>
      <c r="S207" s="46"/>
      <c r="T207" s="46"/>
      <c r="U207" s="44" t="s">
        <v>96</v>
      </c>
      <c r="V207" s="46"/>
      <c r="W207" s="44"/>
      <c r="X207" s="44"/>
      <c r="Y207" s="44"/>
      <c r="Z207" s="44"/>
      <c r="AA207" s="44"/>
      <c r="AB207" s="42"/>
      <c r="AC207" s="47" t="s">
        <v>97</v>
      </c>
      <c r="AD207" s="48"/>
      <c r="AE207" s="43"/>
      <c r="AF207" s="43"/>
      <c r="AG207" s="43"/>
      <c r="AH207" s="43"/>
      <c r="AI207" s="55"/>
      <c r="AJ207" s="52"/>
      <c r="AT207" s="52"/>
      <c r="AU207" s="59"/>
      <c r="AV207" s="58"/>
      <c r="AW207" s="58"/>
      <c r="AX207" s="54" t="s">
        <v>69</v>
      </c>
      <c r="AY207" s="43" t="s">
        <v>70</v>
      </c>
      <c r="AZ207" s="43" t="s">
        <v>70</v>
      </c>
      <c r="BA207" s="43" t="s">
        <v>71</v>
      </c>
      <c r="BB207" s="43" t="s">
        <v>69</v>
      </c>
      <c r="BC207" s="51">
        <v>31</v>
      </c>
      <c r="BD207" s="43" t="s">
        <v>70</v>
      </c>
      <c r="BE207" s="9">
        <f t="shared" si="8"/>
        <v>198</v>
      </c>
      <c r="BF207" s="9" t="str">
        <f t="shared" si="9"/>
        <v>..</v>
      </c>
    </row>
    <row r="208" spans="1:58" ht="18" customHeight="1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1" t="s">
        <v>93</v>
      </c>
      <c r="N208" s="44"/>
      <c r="O208" s="44"/>
      <c r="P208" s="44"/>
      <c r="Q208" s="45"/>
      <c r="R208" s="46"/>
      <c r="S208" s="46"/>
      <c r="T208" s="46"/>
      <c r="U208" s="44" t="s">
        <v>96</v>
      </c>
      <c r="V208" s="46"/>
      <c r="W208" s="44"/>
      <c r="X208" s="44"/>
      <c r="Y208" s="44"/>
      <c r="Z208" s="44"/>
      <c r="AA208" s="44"/>
      <c r="AB208" s="42"/>
      <c r="AC208" s="47" t="s">
        <v>97</v>
      </c>
      <c r="AD208" s="48"/>
      <c r="AE208" s="43"/>
      <c r="AF208" s="43"/>
      <c r="AG208" s="43"/>
      <c r="AH208" s="43"/>
      <c r="AI208" s="55"/>
      <c r="AJ208" s="52"/>
      <c r="AT208" s="52"/>
      <c r="AU208" s="59"/>
      <c r="AV208" s="58"/>
      <c r="AW208" s="58"/>
      <c r="AX208" s="54" t="s">
        <v>69</v>
      </c>
      <c r="AY208" s="43" t="s">
        <v>70</v>
      </c>
      <c r="AZ208" s="43" t="s">
        <v>70</v>
      </c>
      <c r="BA208" s="43" t="s">
        <v>71</v>
      </c>
      <c r="BB208" s="43" t="s">
        <v>69</v>
      </c>
      <c r="BC208" s="51">
        <v>31</v>
      </c>
      <c r="BD208" s="43" t="s">
        <v>70</v>
      </c>
      <c r="BE208" s="9">
        <f t="shared" ref="BE208:BE271" si="10">ROW()-ROW($BE$9)</f>
        <v>199</v>
      </c>
      <c r="BF208" s="9" t="str">
        <f t="shared" si="9"/>
        <v>..</v>
      </c>
    </row>
    <row r="209" spans="1:58" ht="18" customHeight="1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1" t="s">
        <v>93</v>
      </c>
      <c r="N209" s="44"/>
      <c r="O209" s="44"/>
      <c r="P209" s="44"/>
      <c r="Q209" s="45"/>
      <c r="R209" s="46"/>
      <c r="S209" s="46"/>
      <c r="T209" s="46"/>
      <c r="U209" s="44" t="s">
        <v>96</v>
      </c>
      <c r="V209" s="46"/>
      <c r="W209" s="44"/>
      <c r="X209" s="44"/>
      <c r="Y209" s="44"/>
      <c r="Z209" s="44"/>
      <c r="AA209" s="44"/>
      <c r="AB209" s="42"/>
      <c r="AC209" s="47" t="s">
        <v>97</v>
      </c>
      <c r="AD209" s="48"/>
      <c r="AE209" s="43"/>
      <c r="AF209" s="43"/>
      <c r="AG209" s="43"/>
      <c r="AH209" s="43"/>
      <c r="AI209" s="55"/>
      <c r="AJ209" s="52"/>
      <c r="AT209" s="52"/>
      <c r="AU209" s="59"/>
      <c r="AV209" s="58"/>
      <c r="AW209" s="58"/>
      <c r="AX209" s="54" t="s">
        <v>69</v>
      </c>
      <c r="AY209" s="43" t="s">
        <v>70</v>
      </c>
      <c r="AZ209" s="43" t="s">
        <v>70</v>
      </c>
      <c r="BA209" s="43" t="s">
        <v>71</v>
      </c>
      <c r="BB209" s="43" t="s">
        <v>69</v>
      </c>
      <c r="BC209" s="51">
        <v>31</v>
      </c>
      <c r="BD209" s="43" t="s">
        <v>70</v>
      </c>
      <c r="BE209" s="9">
        <f t="shared" si="10"/>
        <v>200</v>
      </c>
      <c r="BF209" s="9" t="str">
        <f t="shared" si="9"/>
        <v>..</v>
      </c>
    </row>
    <row r="210" spans="1:58" ht="18" customHeight="1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1" t="s">
        <v>93</v>
      </c>
      <c r="N210" s="44"/>
      <c r="O210" s="44"/>
      <c r="P210" s="44"/>
      <c r="Q210" s="45"/>
      <c r="R210" s="46"/>
      <c r="S210" s="46"/>
      <c r="T210" s="46"/>
      <c r="U210" s="44" t="s">
        <v>96</v>
      </c>
      <c r="V210" s="46"/>
      <c r="W210" s="44"/>
      <c r="X210" s="44"/>
      <c r="Y210" s="44"/>
      <c r="Z210" s="44"/>
      <c r="AA210" s="44"/>
      <c r="AB210" s="42"/>
      <c r="AC210" s="47" t="s">
        <v>97</v>
      </c>
      <c r="AD210" s="48"/>
      <c r="AE210" s="43"/>
      <c r="AF210" s="43"/>
      <c r="AG210" s="43"/>
      <c r="AH210" s="43"/>
      <c r="AI210" s="55"/>
      <c r="AJ210" s="52"/>
      <c r="AT210" s="52"/>
      <c r="AU210" s="59"/>
      <c r="AV210" s="58"/>
      <c r="AW210" s="58"/>
      <c r="AX210" s="54" t="s">
        <v>69</v>
      </c>
      <c r="AY210" s="43" t="s">
        <v>70</v>
      </c>
      <c r="AZ210" s="43" t="s">
        <v>70</v>
      </c>
      <c r="BA210" s="43" t="s">
        <v>71</v>
      </c>
      <c r="BB210" s="43" t="s">
        <v>69</v>
      </c>
      <c r="BC210" s="51">
        <v>31</v>
      </c>
      <c r="BD210" s="43" t="s">
        <v>70</v>
      </c>
      <c r="BE210" s="9">
        <f t="shared" si="10"/>
        <v>201</v>
      </c>
      <c r="BF210" s="9" t="str">
        <f t="shared" si="9"/>
        <v>..</v>
      </c>
    </row>
    <row r="211" spans="1:58" ht="18" customHeight="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1" t="s">
        <v>93</v>
      </c>
      <c r="N211" s="44"/>
      <c r="O211" s="44"/>
      <c r="P211" s="44"/>
      <c r="Q211" s="45"/>
      <c r="R211" s="46"/>
      <c r="S211" s="46"/>
      <c r="T211" s="46"/>
      <c r="U211" s="44" t="s">
        <v>96</v>
      </c>
      <c r="V211" s="46"/>
      <c r="W211" s="44"/>
      <c r="X211" s="44"/>
      <c r="Y211" s="44"/>
      <c r="Z211" s="44"/>
      <c r="AA211" s="44"/>
      <c r="AB211" s="42"/>
      <c r="AC211" s="47" t="s">
        <v>97</v>
      </c>
      <c r="AD211" s="48"/>
      <c r="AE211" s="43"/>
      <c r="AF211" s="43"/>
      <c r="AG211" s="43"/>
      <c r="AH211" s="43"/>
      <c r="AI211" s="55"/>
      <c r="AJ211" s="52"/>
      <c r="AT211" s="52"/>
      <c r="AU211" s="59"/>
      <c r="AV211" s="58"/>
      <c r="AW211" s="58"/>
      <c r="AX211" s="54" t="s">
        <v>69</v>
      </c>
      <c r="AY211" s="43" t="s">
        <v>70</v>
      </c>
      <c r="AZ211" s="43" t="s">
        <v>70</v>
      </c>
      <c r="BA211" s="43" t="s">
        <v>71</v>
      </c>
      <c r="BB211" s="43" t="s">
        <v>69</v>
      </c>
      <c r="BC211" s="51">
        <v>31</v>
      </c>
      <c r="BD211" s="43" t="s">
        <v>70</v>
      </c>
      <c r="BE211" s="9">
        <f t="shared" si="10"/>
        <v>202</v>
      </c>
      <c r="BF211" s="9" t="str">
        <f t="shared" si="9"/>
        <v>..</v>
      </c>
    </row>
    <row r="212" spans="1:58" ht="18" customHeight="1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1" t="s">
        <v>93</v>
      </c>
      <c r="N212" s="44"/>
      <c r="O212" s="44"/>
      <c r="P212" s="44"/>
      <c r="Q212" s="45"/>
      <c r="R212" s="46"/>
      <c r="S212" s="46"/>
      <c r="T212" s="46"/>
      <c r="U212" s="44" t="s">
        <v>96</v>
      </c>
      <c r="V212" s="46"/>
      <c r="W212" s="44"/>
      <c r="X212" s="44"/>
      <c r="Y212" s="44"/>
      <c r="Z212" s="44"/>
      <c r="AA212" s="44"/>
      <c r="AB212" s="42"/>
      <c r="AC212" s="47" t="s">
        <v>97</v>
      </c>
      <c r="AD212" s="48"/>
      <c r="AE212" s="43"/>
      <c r="AF212" s="43"/>
      <c r="AG212" s="43"/>
      <c r="AH212" s="43"/>
      <c r="AI212" s="55"/>
      <c r="AJ212" s="52"/>
      <c r="AT212" s="52"/>
      <c r="AU212" s="59"/>
      <c r="AV212" s="58"/>
      <c r="AW212" s="58"/>
      <c r="AX212" s="54" t="s">
        <v>69</v>
      </c>
      <c r="AY212" s="43" t="s">
        <v>70</v>
      </c>
      <c r="AZ212" s="43" t="s">
        <v>70</v>
      </c>
      <c r="BA212" s="43" t="s">
        <v>71</v>
      </c>
      <c r="BB212" s="43" t="s">
        <v>69</v>
      </c>
      <c r="BC212" s="51">
        <v>31</v>
      </c>
      <c r="BD212" s="43" t="s">
        <v>70</v>
      </c>
      <c r="BE212" s="9">
        <f t="shared" si="10"/>
        <v>203</v>
      </c>
      <c r="BF212" s="9" t="str">
        <f t="shared" si="9"/>
        <v>..</v>
      </c>
    </row>
    <row r="213" spans="1:58" ht="18" customHeight="1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1" t="s">
        <v>93</v>
      </c>
      <c r="N213" s="44"/>
      <c r="O213" s="44"/>
      <c r="P213" s="44"/>
      <c r="Q213" s="45"/>
      <c r="R213" s="46"/>
      <c r="S213" s="46"/>
      <c r="T213" s="46"/>
      <c r="U213" s="44" t="s">
        <v>96</v>
      </c>
      <c r="V213" s="46"/>
      <c r="W213" s="44"/>
      <c r="X213" s="44"/>
      <c r="Y213" s="44"/>
      <c r="Z213" s="44"/>
      <c r="AA213" s="44"/>
      <c r="AB213" s="42"/>
      <c r="AC213" s="47" t="s">
        <v>97</v>
      </c>
      <c r="AD213" s="48"/>
      <c r="AE213" s="43"/>
      <c r="AF213" s="43"/>
      <c r="AG213" s="43"/>
      <c r="AH213" s="43"/>
      <c r="AI213" s="55"/>
      <c r="AJ213" s="52"/>
      <c r="AT213" s="52"/>
      <c r="AU213" s="59"/>
      <c r="AV213" s="58"/>
      <c r="AW213" s="58"/>
      <c r="AX213" s="54" t="s">
        <v>69</v>
      </c>
      <c r="AY213" s="43" t="s">
        <v>70</v>
      </c>
      <c r="AZ213" s="43" t="s">
        <v>70</v>
      </c>
      <c r="BA213" s="43" t="s">
        <v>71</v>
      </c>
      <c r="BB213" s="43" t="s">
        <v>69</v>
      </c>
      <c r="BC213" s="51">
        <v>31</v>
      </c>
      <c r="BD213" s="43" t="s">
        <v>70</v>
      </c>
      <c r="BE213" s="9">
        <f t="shared" si="10"/>
        <v>204</v>
      </c>
      <c r="BF213" s="9" t="str">
        <f t="shared" si="9"/>
        <v>..</v>
      </c>
    </row>
    <row r="214" spans="1:58" ht="18" customHeight="1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1" t="s">
        <v>93</v>
      </c>
      <c r="N214" s="44"/>
      <c r="O214" s="44"/>
      <c r="P214" s="44"/>
      <c r="Q214" s="45"/>
      <c r="R214" s="46"/>
      <c r="S214" s="46"/>
      <c r="T214" s="46"/>
      <c r="U214" s="44" t="s">
        <v>96</v>
      </c>
      <c r="V214" s="46"/>
      <c r="W214" s="44"/>
      <c r="X214" s="44"/>
      <c r="Y214" s="44"/>
      <c r="Z214" s="44"/>
      <c r="AA214" s="44"/>
      <c r="AB214" s="42"/>
      <c r="AC214" s="47" t="s">
        <v>97</v>
      </c>
      <c r="AD214" s="48"/>
      <c r="AE214" s="43"/>
      <c r="AF214" s="43"/>
      <c r="AG214" s="43"/>
      <c r="AH214" s="43"/>
      <c r="AI214" s="55"/>
      <c r="AJ214" s="52"/>
      <c r="AT214" s="52"/>
      <c r="AU214" s="59"/>
      <c r="AV214" s="58"/>
      <c r="AW214" s="58"/>
      <c r="AX214" s="54" t="s">
        <v>69</v>
      </c>
      <c r="AY214" s="43" t="s">
        <v>70</v>
      </c>
      <c r="AZ214" s="43" t="s">
        <v>70</v>
      </c>
      <c r="BA214" s="43" t="s">
        <v>71</v>
      </c>
      <c r="BB214" s="43" t="s">
        <v>69</v>
      </c>
      <c r="BC214" s="51">
        <v>31</v>
      </c>
      <c r="BD214" s="43" t="s">
        <v>70</v>
      </c>
      <c r="BE214" s="9">
        <f t="shared" si="10"/>
        <v>205</v>
      </c>
      <c r="BF214" s="9" t="str">
        <f t="shared" si="9"/>
        <v>..</v>
      </c>
    </row>
    <row r="215" spans="1:58" ht="18" customHeight="1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1" t="s">
        <v>93</v>
      </c>
      <c r="N215" s="44"/>
      <c r="O215" s="44"/>
      <c r="P215" s="44"/>
      <c r="Q215" s="45"/>
      <c r="R215" s="46"/>
      <c r="S215" s="46"/>
      <c r="T215" s="46"/>
      <c r="U215" s="44" t="s">
        <v>96</v>
      </c>
      <c r="V215" s="46"/>
      <c r="W215" s="44"/>
      <c r="X215" s="44"/>
      <c r="Y215" s="44"/>
      <c r="Z215" s="44"/>
      <c r="AA215" s="44"/>
      <c r="AB215" s="42"/>
      <c r="AC215" s="47" t="s">
        <v>97</v>
      </c>
      <c r="AD215" s="48"/>
      <c r="AE215" s="43"/>
      <c r="AF215" s="43"/>
      <c r="AG215" s="43"/>
      <c r="AH215" s="43"/>
      <c r="AI215" s="55"/>
      <c r="AJ215" s="52"/>
      <c r="AT215" s="52"/>
      <c r="AU215" s="59"/>
      <c r="AV215" s="58"/>
      <c r="AW215" s="58"/>
      <c r="AX215" s="54" t="s">
        <v>69</v>
      </c>
      <c r="AY215" s="43" t="s">
        <v>70</v>
      </c>
      <c r="AZ215" s="43" t="s">
        <v>70</v>
      </c>
      <c r="BA215" s="43" t="s">
        <v>71</v>
      </c>
      <c r="BB215" s="43" t="s">
        <v>69</v>
      </c>
      <c r="BC215" s="51">
        <v>31</v>
      </c>
      <c r="BD215" s="43" t="s">
        <v>70</v>
      </c>
      <c r="BE215" s="9">
        <f t="shared" si="10"/>
        <v>206</v>
      </c>
      <c r="BF215" s="9" t="str">
        <f t="shared" si="9"/>
        <v>..</v>
      </c>
    </row>
    <row r="216" spans="1:58" ht="18" customHeight="1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1" t="s">
        <v>93</v>
      </c>
      <c r="N216" s="44"/>
      <c r="O216" s="44"/>
      <c r="P216" s="44"/>
      <c r="Q216" s="45"/>
      <c r="R216" s="46"/>
      <c r="S216" s="46"/>
      <c r="T216" s="46"/>
      <c r="U216" s="44" t="s">
        <v>96</v>
      </c>
      <c r="V216" s="46"/>
      <c r="W216" s="44"/>
      <c r="X216" s="44"/>
      <c r="Y216" s="44"/>
      <c r="Z216" s="44"/>
      <c r="AA216" s="44"/>
      <c r="AB216" s="42"/>
      <c r="AC216" s="47" t="s">
        <v>97</v>
      </c>
      <c r="AD216" s="48"/>
      <c r="AE216" s="43"/>
      <c r="AF216" s="43"/>
      <c r="AG216" s="43"/>
      <c r="AH216" s="43"/>
      <c r="AI216" s="55"/>
      <c r="AJ216" s="52"/>
      <c r="AT216" s="52"/>
      <c r="AU216" s="59"/>
      <c r="AV216" s="58"/>
      <c r="AW216" s="58"/>
      <c r="AX216" s="54" t="s">
        <v>69</v>
      </c>
      <c r="AY216" s="43" t="s">
        <v>70</v>
      </c>
      <c r="AZ216" s="43" t="s">
        <v>70</v>
      </c>
      <c r="BA216" s="43" t="s">
        <v>71</v>
      </c>
      <c r="BB216" s="43" t="s">
        <v>69</v>
      </c>
      <c r="BC216" s="51">
        <v>31</v>
      </c>
      <c r="BD216" s="43" t="s">
        <v>70</v>
      </c>
      <c r="BE216" s="9">
        <f t="shared" si="10"/>
        <v>207</v>
      </c>
      <c r="BF216" s="9" t="str">
        <f t="shared" si="9"/>
        <v>..</v>
      </c>
    </row>
    <row r="217" spans="1:58" ht="18" customHeight="1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1" t="s">
        <v>93</v>
      </c>
      <c r="N217" s="44"/>
      <c r="O217" s="44"/>
      <c r="P217" s="44"/>
      <c r="Q217" s="45"/>
      <c r="R217" s="46"/>
      <c r="S217" s="46"/>
      <c r="T217" s="46"/>
      <c r="U217" s="44" t="s">
        <v>96</v>
      </c>
      <c r="V217" s="46"/>
      <c r="W217" s="44"/>
      <c r="X217" s="44"/>
      <c r="Y217" s="44"/>
      <c r="Z217" s="44"/>
      <c r="AA217" s="44"/>
      <c r="AB217" s="42"/>
      <c r="AC217" s="47" t="s">
        <v>97</v>
      </c>
      <c r="AD217" s="48"/>
      <c r="AE217" s="43"/>
      <c r="AF217" s="43"/>
      <c r="AG217" s="43"/>
      <c r="AH217" s="43"/>
      <c r="AI217" s="55"/>
      <c r="AJ217" s="52"/>
      <c r="AT217" s="52"/>
      <c r="AU217" s="59"/>
      <c r="AV217" s="58"/>
      <c r="AW217" s="58"/>
      <c r="AX217" s="54" t="s">
        <v>69</v>
      </c>
      <c r="AY217" s="43" t="s">
        <v>70</v>
      </c>
      <c r="AZ217" s="43" t="s">
        <v>70</v>
      </c>
      <c r="BA217" s="43" t="s">
        <v>71</v>
      </c>
      <c r="BB217" s="43" t="s">
        <v>69</v>
      </c>
      <c r="BC217" s="51">
        <v>31</v>
      </c>
      <c r="BD217" s="43" t="s">
        <v>70</v>
      </c>
      <c r="BE217" s="9">
        <f t="shared" si="10"/>
        <v>208</v>
      </c>
      <c r="BF217" s="9" t="str">
        <f t="shared" si="9"/>
        <v>..</v>
      </c>
    </row>
    <row r="218" spans="1:58" ht="18" customHeight="1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1" t="s">
        <v>93</v>
      </c>
      <c r="N218" s="44"/>
      <c r="O218" s="44"/>
      <c r="P218" s="44"/>
      <c r="Q218" s="45"/>
      <c r="R218" s="46"/>
      <c r="S218" s="46"/>
      <c r="T218" s="46"/>
      <c r="U218" s="44" t="s">
        <v>96</v>
      </c>
      <c r="V218" s="46"/>
      <c r="W218" s="44"/>
      <c r="X218" s="44"/>
      <c r="Y218" s="44"/>
      <c r="Z218" s="44"/>
      <c r="AA218" s="44"/>
      <c r="AB218" s="42"/>
      <c r="AC218" s="47" t="s">
        <v>97</v>
      </c>
      <c r="AD218" s="48"/>
      <c r="AE218" s="43"/>
      <c r="AF218" s="43"/>
      <c r="AG218" s="43"/>
      <c r="AH218" s="43"/>
      <c r="AI218" s="55"/>
      <c r="AJ218" s="52"/>
      <c r="AT218" s="52"/>
      <c r="AU218" s="59"/>
      <c r="AV218" s="58"/>
      <c r="AW218" s="58"/>
      <c r="AX218" s="54" t="s">
        <v>69</v>
      </c>
      <c r="AY218" s="43" t="s">
        <v>70</v>
      </c>
      <c r="AZ218" s="43" t="s">
        <v>70</v>
      </c>
      <c r="BA218" s="43" t="s">
        <v>71</v>
      </c>
      <c r="BB218" s="43" t="s">
        <v>69</v>
      </c>
      <c r="BC218" s="51">
        <v>31</v>
      </c>
      <c r="BD218" s="43" t="s">
        <v>70</v>
      </c>
      <c r="BE218" s="9">
        <f t="shared" si="10"/>
        <v>209</v>
      </c>
      <c r="BF218" s="9" t="str">
        <f t="shared" si="9"/>
        <v>..</v>
      </c>
    </row>
    <row r="219" spans="1:58" ht="18" customHeight="1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1" t="s">
        <v>93</v>
      </c>
      <c r="N219" s="44"/>
      <c r="O219" s="44"/>
      <c r="P219" s="44"/>
      <c r="Q219" s="45"/>
      <c r="R219" s="46"/>
      <c r="S219" s="46"/>
      <c r="T219" s="46"/>
      <c r="U219" s="44" t="s">
        <v>96</v>
      </c>
      <c r="V219" s="46"/>
      <c r="W219" s="44"/>
      <c r="X219" s="44"/>
      <c r="Y219" s="44"/>
      <c r="Z219" s="44"/>
      <c r="AA219" s="44"/>
      <c r="AB219" s="42"/>
      <c r="AC219" s="47" t="s">
        <v>97</v>
      </c>
      <c r="AD219" s="48"/>
      <c r="AE219" s="43"/>
      <c r="AF219" s="43"/>
      <c r="AG219" s="43"/>
      <c r="AH219" s="43"/>
      <c r="AI219" s="55"/>
      <c r="AJ219" s="52"/>
      <c r="AT219" s="52"/>
      <c r="AU219" s="59"/>
      <c r="AV219" s="58"/>
      <c r="AW219" s="58"/>
      <c r="AX219" s="54" t="s">
        <v>69</v>
      </c>
      <c r="AY219" s="43" t="s">
        <v>70</v>
      </c>
      <c r="AZ219" s="43" t="s">
        <v>70</v>
      </c>
      <c r="BA219" s="43" t="s">
        <v>71</v>
      </c>
      <c r="BB219" s="43" t="s">
        <v>69</v>
      </c>
      <c r="BC219" s="51">
        <v>31</v>
      </c>
      <c r="BD219" s="43" t="s">
        <v>70</v>
      </c>
      <c r="BE219" s="9">
        <f t="shared" si="10"/>
        <v>210</v>
      </c>
      <c r="BF219" s="9" t="str">
        <f t="shared" si="9"/>
        <v>..</v>
      </c>
    </row>
    <row r="220" spans="1:58" ht="18" customHeight="1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1" t="s">
        <v>93</v>
      </c>
      <c r="N220" s="44"/>
      <c r="O220" s="44"/>
      <c r="P220" s="44"/>
      <c r="Q220" s="45"/>
      <c r="R220" s="46"/>
      <c r="S220" s="46"/>
      <c r="T220" s="46"/>
      <c r="U220" s="44" t="s">
        <v>96</v>
      </c>
      <c r="V220" s="46"/>
      <c r="W220" s="44"/>
      <c r="X220" s="44"/>
      <c r="Y220" s="44"/>
      <c r="Z220" s="44"/>
      <c r="AA220" s="44"/>
      <c r="AB220" s="42"/>
      <c r="AC220" s="47" t="s">
        <v>97</v>
      </c>
      <c r="AD220" s="48"/>
      <c r="AE220" s="43"/>
      <c r="AF220" s="43"/>
      <c r="AG220" s="43"/>
      <c r="AH220" s="43"/>
      <c r="AI220" s="55"/>
      <c r="AJ220" s="52"/>
      <c r="AT220" s="52"/>
      <c r="AU220" s="59"/>
      <c r="AV220" s="58"/>
      <c r="AW220" s="58"/>
      <c r="AX220" s="54" t="s">
        <v>69</v>
      </c>
      <c r="AY220" s="43" t="s">
        <v>70</v>
      </c>
      <c r="AZ220" s="43" t="s">
        <v>70</v>
      </c>
      <c r="BA220" s="43" t="s">
        <v>71</v>
      </c>
      <c r="BB220" s="43" t="s">
        <v>69</v>
      </c>
      <c r="BC220" s="51">
        <v>31</v>
      </c>
      <c r="BD220" s="43" t="s">
        <v>70</v>
      </c>
      <c r="BE220" s="9">
        <f t="shared" si="10"/>
        <v>211</v>
      </c>
      <c r="BF220" s="9" t="str">
        <f t="shared" si="9"/>
        <v>..</v>
      </c>
    </row>
    <row r="221" spans="1:58" ht="18" customHeight="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1" t="s">
        <v>93</v>
      </c>
      <c r="N221" s="44"/>
      <c r="O221" s="44"/>
      <c r="P221" s="44"/>
      <c r="Q221" s="45"/>
      <c r="R221" s="46"/>
      <c r="S221" s="46"/>
      <c r="T221" s="46"/>
      <c r="U221" s="44" t="s">
        <v>96</v>
      </c>
      <c r="V221" s="46"/>
      <c r="W221" s="44"/>
      <c r="X221" s="44"/>
      <c r="Y221" s="44"/>
      <c r="Z221" s="44"/>
      <c r="AA221" s="44"/>
      <c r="AB221" s="42"/>
      <c r="AC221" s="47" t="s">
        <v>97</v>
      </c>
      <c r="AD221" s="48"/>
      <c r="AE221" s="43"/>
      <c r="AF221" s="43"/>
      <c r="AG221" s="43"/>
      <c r="AH221" s="43"/>
      <c r="AI221" s="55"/>
      <c r="AJ221" s="52"/>
      <c r="AT221" s="52"/>
      <c r="AU221" s="59"/>
      <c r="AV221" s="58"/>
      <c r="AW221" s="58"/>
      <c r="AX221" s="54" t="s">
        <v>69</v>
      </c>
      <c r="AY221" s="43" t="s">
        <v>70</v>
      </c>
      <c r="AZ221" s="43" t="s">
        <v>70</v>
      </c>
      <c r="BA221" s="43" t="s">
        <v>71</v>
      </c>
      <c r="BB221" s="43" t="s">
        <v>69</v>
      </c>
      <c r="BC221" s="51">
        <v>31</v>
      </c>
      <c r="BD221" s="43" t="s">
        <v>70</v>
      </c>
      <c r="BE221" s="9">
        <f t="shared" si="10"/>
        <v>212</v>
      </c>
      <c r="BF221" s="9" t="str">
        <f t="shared" si="9"/>
        <v>..</v>
      </c>
    </row>
    <row r="222" spans="1:58" ht="18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1" t="s">
        <v>93</v>
      </c>
      <c r="N222" s="44"/>
      <c r="O222" s="44"/>
      <c r="P222" s="44"/>
      <c r="Q222" s="45"/>
      <c r="R222" s="46"/>
      <c r="S222" s="46"/>
      <c r="T222" s="46"/>
      <c r="U222" s="44" t="s">
        <v>96</v>
      </c>
      <c r="V222" s="46"/>
      <c r="W222" s="44"/>
      <c r="X222" s="44"/>
      <c r="Y222" s="44"/>
      <c r="Z222" s="44"/>
      <c r="AA222" s="44"/>
      <c r="AB222" s="42"/>
      <c r="AC222" s="47" t="s">
        <v>97</v>
      </c>
      <c r="AD222" s="48"/>
      <c r="AE222" s="43"/>
      <c r="AF222" s="43"/>
      <c r="AG222" s="43"/>
      <c r="AH222" s="43"/>
      <c r="AI222" s="55"/>
      <c r="AJ222" s="52"/>
      <c r="AT222" s="52"/>
      <c r="AU222" s="59"/>
      <c r="AV222" s="58"/>
      <c r="AW222" s="58"/>
      <c r="AX222" s="54" t="s">
        <v>69</v>
      </c>
      <c r="AY222" s="43" t="s">
        <v>70</v>
      </c>
      <c r="AZ222" s="43" t="s">
        <v>70</v>
      </c>
      <c r="BA222" s="43" t="s">
        <v>71</v>
      </c>
      <c r="BB222" s="43" t="s">
        <v>69</v>
      </c>
      <c r="BC222" s="51">
        <v>31</v>
      </c>
      <c r="BD222" s="43" t="s">
        <v>70</v>
      </c>
      <c r="BE222" s="9">
        <f t="shared" si="10"/>
        <v>213</v>
      </c>
      <c r="BF222" s="9" t="str">
        <f t="shared" si="9"/>
        <v>..</v>
      </c>
    </row>
    <row r="223" spans="1:58" ht="18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1" t="s">
        <v>93</v>
      </c>
      <c r="N223" s="44"/>
      <c r="O223" s="44"/>
      <c r="P223" s="44"/>
      <c r="Q223" s="45"/>
      <c r="R223" s="46"/>
      <c r="S223" s="46"/>
      <c r="T223" s="46"/>
      <c r="U223" s="44" t="s">
        <v>96</v>
      </c>
      <c r="V223" s="46"/>
      <c r="W223" s="44"/>
      <c r="X223" s="44"/>
      <c r="Y223" s="44"/>
      <c r="Z223" s="44"/>
      <c r="AA223" s="44"/>
      <c r="AB223" s="42"/>
      <c r="AC223" s="47" t="s">
        <v>97</v>
      </c>
      <c r="AD223" s="48"/>
      <c r="AE223" s="43"/>
      <c r="AF223" s="43"/>
      <c r="AG223" s="43"/>
      <c r="AH223" s="43"/>
      <c r="AI223" s="55"/>
      <c r="AJ223" s="52"/>
      <c r="AT223" s="52"/>
      <c r="AU223" s="59"/>
      <c r="AV223" s="58"/>
      <c r="AW223" s="58"/>
      <c r="AX223" s="54" t="s">
        <v>69</v>
      </c>
      <c r="AY223" s="43" t="s">
        <v>70</v>
      </c>
      <c r="AZ223" s="43" t="s">
        <v>70</v>
      </c>
      <c r="BA223" s="43" t="s">
        <v>71</v>
      </c>
      <c r="BB223" s="43" t="s">
        <v>69</v>
      </c>
      <c r="BC223" s="51">
        <v>31</v>
      </c>
      <c r="BD223" s="43" t="s">
        <v>70</v>
      </c>
      <c r="BE223" s="9">
        <f t="shared" si="10"/>
        <v>214</v>
      </c>
      <c r="BF223" s="9" t="str">
        <f t="shared" si="9"/>
        <v>..</v>
      </c>
    </row>
    <row r="224" spans="1:58" ht="18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1" t="s">
        <v>93</v>
      </c>
      <c r="N224" s="44"/>
      <c r="O224" s="44"/>
      <c r="P224" s="44"/>
      <c r="Q224" s="45"/>
      <c r="R224" s="46"/>
      <c r="S224" s="46"/>
      <c r="T224" s="46"/>
      <c r="U224" s="44" t="s">
        <v>96</v>
      </c>
      <c r="V224" s="46"/>
      <c r="W224" s="44"/>
      <c r="X224" s="44"/>
      <c r="Y224" s="44"/>
      <c r="Z224" s="44"/>
      <c r="AA224" s="44"/>
      <c r="AB224" s="42"/>
      <c r="AC224" s="47" t="s">
        <v>97</v>
      </c>
      <c r="AD224" s="48"/>
      <c r="AE224" s="43"/>
      <c r="AF224" s="43"/>
      <c r="AG224" s="43"/>
      <c r="AH224" s="43"/>
      <c r="AI224" s="55"/>
      <c r="AJ224" s="52"/>
      <c r="AT224" s="52"/>
      <c r="AU224" s="59"/>
      <c r="AV224" s="58"/>
      <c r="AW224" s="58"/>
      <c r="AX224" s="54" t="s">
        <v>69</v>
      </c>
      <c r="AY224" s="43" t="s">
        <v>70</v>
      </c>
      <c r="AZ224" s="43" t="s">
        <v>70</v>
      </c>
      <c r="BA224" s="43" t="s">
        <v>71</v>
      </c>
      <c r="BB224" s="43" t="s">
        <v>69</v>
      </c>
      <c r="BC224" s="51">
        <v>31</v>
      </c>
      <c r="BD224" s="43" t="s">
        <v>70</v>
      </c>
      <c r="BE224" s="9">
        <f t="shared" si="10"/>
        <v>215</v>
      </c>
      <c r="BF224" s="9" t="str">
        <f t="shared" si="9"/>
        <v>..</v>
      </c>
    </row>
    <row r="225" spans="1:58" ht="18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1" t="s">
        <v>93</v>
      </c>
      <c r="N225" s="44"/>
      <c r="O225" s="44"/>
      <c r="P225" s="44"/>
      <c r="Q225" s="45"/>
      <c r="R225" s="46"/>
      <c r="S225" s="46"/>
      <c r="T225" s="46"/>
      <c r="U225" s="44" t="s">
        <v>96</v>
      </c>
      <c r="V225" s="46"/>
      <c r="W225" s="44"/>
      <c r="X225" s="44"/>
      <c r="Y225" s="44"/>
      <c r="Z225" s="44"/>
      <c r="AA225" s="44"/>
      <c r="AB225" s="42"/>
      <c r="AC225" s="47" t="s">
        <v>97</v>
      </c>
      <c r="AD225" s="48"/>
      <c r="AE225" s="43"/>
      <c r="AF225" s="43"/>
      <c r="AG225" s="43"/>
      <c r="AH225" s="43"/>
      <c r="AI225" s="55"/>
      <c r="AJ225" s="52"/>
      <c r="AT225" s="52"/>
      <c r="AU225" s="59"/>
      <c r="AV225" s="58"/>
      <c r="AW225" s="58"/>
      <c r="AX225" s="54" t="s">
        <v>69</v>
      </c>
      <c r="AY225" s="43" t="s">
        <v>70</v>
      </c>
      <c r="AZ225" s="43" t="s">
        <v>70</v>
      </c>
      <c r="BA225" s="43" t="s">
        <v>71</v>
      </c>
      <c r="BB225" s="43" t="s">
        <v>69</v>
      </c>
      <c r="BC225" s="51">
        <v>31</v>
      </c>
      <c r="BD225" s="43" t="s">
        <v>70</v>
      </c>
      <c r="BE225" s="9">
        <f t="shared" si="10"/>
        <v>216</v>
      </c>
      <c r="BF225" s="9" t="str">
        <f t="shared" si="9"/>
        <v>..</v>
      </c>
    </row>
    <row r="226" spans="1:58" ht="18" customHeight="1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1" t="s">
        <v>93</v>
      </c>
      <c r="N226" s="44"/>
      <c r="O226" s="44"/>
      <c r="P226" s="44"/>
      <c r="Q226" s="45"/>
      <c r="R226" s="46"/>
      <c r="S226" s="46"/>
      <c r="T226" s="46"/>
      <c r="U226" s="44" t="s">
        <v>96</v>
      </c>
      <c r="V226" s="46"/>
      <c r="W226" s="44"/>
      <c r="X226" s="44"/>
      <c r="Y226" s="44"/>
      <c r="Z226" s="44"/>
      <c r="AA226" s="44"/>
      <c r="AB226" s="42"/>
      <c r="AC226" s="47" t="s">
        <v>97</v>
      </c>
      <c r="AD226" s="48"/>
      <c r="AE226" s="43"/>
      <c r="AF226" s="43"/>
      <c r="AG226" s="43"/>
      <c r="AH226" s="43"/>
      <c r="AI226" s="55"/>
      <c r="AJ226" s="52"/>
      <c r="AT226" s="52"/>
      <c r="AU226" s="59"/>
      <c r="AV226" s="58"/>
      <c r="AW226" s="58"/>
      <c r="AX226" s="54" t="s">
        <v>69</v>
      </c>
      <c r="AY226" s="43" t="s">
        <v>70</v>
      </c>
      <c r="AZ226" s="43" t="s">
        <v>70</v>
      </c>
      <c r="BA226" s="43" t="s">
        <v>71</v>
      </c>
      <c r="BB226" s="43" t="s">
        <v>69</v>
      </c>
      <c r="BC226" s="51">
        <v>31</v>
      </c>
      <c r="BD226" s="43" t="s">
        <v>70</v>
      </c>
      <c r="BE226" s="9">
        <f t="shared" si="10"/>
        <v>217</v>
      </c>
      <c r="BF226" s="9" t="str">
        <f t="shared" si="9"/>
        <v>..</v>
      </c>
    </row>
    <row r="227" spans="1:58" ht="18" customHeight="1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1" t="s">
        <v>93</v>
      </c>
      <c r="N227" s="44"/>
      <c r="O227" s="44"/>
      <c r="P227" s="44"/>
      <c r="Q227" s="45"/>
      <c r="R227" s="46"/>
      <c r="S227" s="46"/>
      <c r="T227" s="46"/>
      <c r="U227" s="44" t="s">
        <v>96</v>
      </c>
      <c r="V227" s="46"/>
      <c r="W227" s="44"/>
      <c r="X227" s="44"/>
      <c r="Y227" s="44"/>
      <c r="Z227" s="44"/>
      <c r="AA227" s="44"/>
      <c r="AB227" s="42"/>
      <c r="AC227" s="47" t="s">
        <v>97</v>
      </c>
      <c r="AD227" s="48"/>
      <c r="AE227" s="43"/>
      <c r="AF227" s="43"/>
      <c r="AG227" s="43"/>
      <c r="AH227" s="43"/>
      <c r="AI227" s="55"/>
      <c r="AJ227" s="52"/>
      <c r="AT227" s="52"/>
      <c r="AU227" s="59"/>
      <c r="AV227" s="58"/>
      <c r="AW227" s="58"/>
      <c r="AX227" s="54" t="s">
        <v>69</v>
      </c>
      <c r="AY227" s="43" t="s">
        <v>70</v>
      </c>
      <c r="AZ227" s="43" t="s">
        <v>70</v>
      </c>
      <c r="BA227" s="43" t="s">
        <v>71</v>
      </c>
      <c r="BB227" s="43" t="s">
        <v>69</v>
      </c>
      <c r="BC227" s="51">
        <v>31</v>
      </c>
      <c r="BD227" s="43" t="s">
        <v>70</v>
      </c>
      <c r="BE227" s="9">
        <f t="shared" si="10"/>
        <v>218</v>
      </c>
      <c r="BF227" s="9" t="str">
        <f t="shared" si="9"/>
        <v>..</v>
      </c>
    </row>
    <row r="228" spans="1:58" ht="18" customHeight="1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1" t="s">
        <v>93</v>
      </c>
      <c r="N228" s="44"/>
      <c r="O228" s="44"/>
      <c r="P228" s="44"/>
      <c r="Q228" s="45"/>
      <c r="R228" s="46"/>
      <c r="S228" s="46"/>
      <c r="T228" s="46"/>
      <c r="U228" s="44" t="s">
        <v>96</v>
      </c>
      <c r="V228" s="46"/>
      <c r="W228" s="44"/>
      <c r="X228" s="44"/>
      <c r="Y228" s="44"/>
      <c r="Z228" s="44"/>
      <c r="AA228" s="44"/>
      <c r="AB228" s="42"/>
      <c r="AC228" s="47" t="s">
        <v>97</v>
      </c>
      <c r="AD228" s="48"/>
      <c r="AE228" s="43"/>
      <c r="AF228" s="43"/>
      <c r="AG228" s="43"/>
      <c r="AH228" s="43"/>
      <c r="AI228" s="55"/>
      <c r="AJ228" s="52"/>
      <c r="AT228" s="52"/>
      <c r="AU228" s="59"/>
      <c r="AV228" s="58"/>
      <c r="AW228" s="58"/>
      <c r="AX228" s="54" t="s">
        <v>69</v>
      </c>
      <c r="AY228" s="43" t="s">
        <v>70</v>
      </c>
      <c r="AZ228" s="43" t="s">
        <v>70</v>
      </c>
      <c r="BA228" s="43" t="s">
        <v>71</v>
      </c>
      <c r="BB228" s="43" t="s">
        <v>69</v>
      </c>
      <c r="BC228" s="51">
        <v>31</v>
      </c>
      <c r="BD228" s="43" t="s">
        <v>70</v>
      </c>
      <c r="BE228" s="9">
        <f t="shared" si="10"/>
        <v>219</v>
      </c>
      <c r="BF228" s="9" t="str">
        <f t="shared" si="9"/>
        <v>..</v>
      </c>
    </row>
    <row r="229" spans="1:58" ht="18" customHeight="1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1" t="s">
        <v>93</v>
      </c>
      <c r="N229" s="44"/>
      <c r="O229" s="44"/>
      <c r="P229" s="44"/>
      <c r="Q229" s="45"/>
      <c r="R229" s="46"/>
      <c r="S229" s="46"/>
      <c r="T229" s="46"/>
      <c r="U229" s="44" t="s">
        <v>96</v>
      </c>
      <c r="V229" s="46"/>
      <c r="W229" s="44"/>
      <c r="X229" s="44"/>
      <c r="Y229" s="44"/>
      <c r="Z229" s="44"/>
      <c r="AA229" s="44"/>
      <c r="AB229" s="42"/>
      <c r="AC229" s="47" t="s">
        <v>97</v>
      </c>
      <c r="AD229" s="48"/>
      <c r="AE229" s="43"/>
      <c r="AF229" s="43"/>
      <c r="AG229" s="43"/>
      <c r="AH229" s="43"/>
      <c r="AI229" s="55"/>
      <c r="AJ229" s="52"/>
      <c r="AT229" s="52"/>
      <c r="AU229" s="59"/>
      <c r="AV229" s="58"/>
      <c r="AW229" s="58"/>
      <c r="AX229" s="54" t="s">
        <v>69</v>
      </c>
      <c r="AY229" s="43" t="s">
        <v>70</v>
      </c>
      <c r="AZ229" s="43" t="s">
        <v>70</v>
      </c>
      <c r="BA229" s="43" t="s">
        <v>71</v>
      </c>
      <c r="BB229" s="43" t="s">
        <v>69</v>
      </c>
      <c r="BC229" s="51">
        <v>31</v>
      </c>
      <c r="BD229" s="43" t="s">
        <v>70</v>
      </c>
      <c r="BE229" s="9">
        <f t="shared" si="10"/>
        <v>220</v>
      </c>
      <c r="BF229" s="9" t="str">
        <f t="shared" si="9"/>
        <v>..</v>
      </c>
    </row>
    <row r="230" spans="1:58" ht="18" customHeight="1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1" t="s">
        <v>93</v>
      </c>
      <c r="N230" s="44"/>
      <c r="O230" s="44"/>
      <c r="P230" s="44"/>
      <c r="Q230" s="45"/>
      <c r="R230" s="46"/>
      <c r="S230" s="46"/>
      <c r="T230" s="46"/>
      <c r="U230" s="44" t="s">
        <v>96</v>
      </c>
      <c r="V230" s="46"/>
      <c r="W230" s="44"/>
      <c r="X230" s="44"/>
      <c r="Y230" s="44"/>
      <c r="Z230" s="44"/>
      <c r="AA230" s="44"/>
      <c r="AB230" s="42"/>
      <c r="AC230" s="47" t="s">
        <v>97</v>
      </c>
      <c r="AD230" s="48"/>
      <c r="AE230" s="43"/>
      <c r="AF230" s="43"/>
      <c r="AG230" s="43"/>
      <c r="AH230" s="43"/>
      <c r="AI230" s="55"/>
      <c r="AJ230" s="52"/>
      <c r="AT230" s="52"/>
      <c r="AU230" s="59"/>
      <c r="AV230" s="58"/>
      <c r="AW230" s="58"/>
      <c r="AX230" s="54" t="s">
        <v>69</v>
      </c>
      <c r="AY230" s="43" t="s">
        <v>70</v>
      </c>
      <c r="AZ230" s="43" t="s">
        <v>70</v>
      </c>
      <c r="BA230" s="43" t="s">
        <v>71</v>
      </c>
      <c r="BB230" s="43" t="s">
        <v>69</v>
      </c>
      <c r="BC230" s="51">
        <v>31</v>
      </c>
      <c r="BD230" s="43" t="s">
        <v>70</v>
      </c>
      <c r="BE230" s="9">
        <f t="shared" si="10"/>
        <v>221</v>
      </c>
      <c r="BF230" s="9" t="str">
        <f t="shared" si="9"/>
        <v>..</v>
      </c>
    </row>
    <row r="231" spans="1:58" ht="18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1" t="s">
        <v>93</v>
      </c>
      <c r="N231" s="44"/>
      <c r="O231" s="44"/>
      <c r="P231" s="44"/>
      <c r="Q231" s="45"/>
      <c r="R231" s="46"/>
      <c r="S231" s="46"/>
      <c r="T231" s="46"/>
      <c r="U231" s="44" t="s">
        <v>96</v>
      </c>
      <c r="V231" s="46"/>
      <c r="W231" s="44"/>
      <c r="X231" s="44"/>
      <c r="Y231" s="44"/>
      <c r="Z231" s="44"/>
      <c r="AA231" s="44"/>
      <c r="AB231" s="42"/>
      <c r="AC231" s="47" t="s">
        <v>97</v>
      </c>
      <c r="AD231" s="48"/>
      <c r="AE231" s="43"/>
      <c r="AF231" s="43"/>
      <c r="AG231" s="43"/>
      <c r="AH231" s="43"/>
      <c r="AI231" s="55"/>
      <c r="AJ231" s="52"/>
      <c r="AT231" s="52"/>
      <c r="AU231" s="59"/>
      <c r="AV231" s="58"/>
      <c r="AW231" s="58"/>
      <c r="AX231" s="54" t="s">
        <v>69</v>
      </c>
      <c r="AY231" s="43" t="s">
        <v>70</v>
      </c>
      <c r="AZ231" s="43" t="s">
        <v>70</v>
      </c>
      <c r="BA231" s="43" t="s">
        <v>71</v>
      </c>
      <c r="BB231" s="43" t="s">
        <v>69</v>
      </c>
      <c r="BC231" s="51">
        <v>31</v>
      </c>
      <c r="BD231" s="43" t="s">
        <v>70</v>
      </c>
      <c r="BE231" s="9">
        <f t="shared" si="10"/>
        <v>222</v>
      </c>
      <c r="BF231" s="9" t="str">
        <f t="shared" si="9"/>
        <v>..</v>
      </c>
    </row>
    <row r="232" spans="1:58" ht="18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1" t="s">
        <v>93</v>
      </c>
      <c r="N232" s="44"/>
      <c r="O232" s="44"/>
      <c r="P232" s="44"/>
      <c r="Q232" s="45"/>
      <c r="R232" s="46"/>
      <c r="S232" s="46"/>
      <c r="T232" s="46"/>
      <c r="U232" s="44" t="s">
        <v>96</v>
      </c>
      <c r="V232" s="46"/>
      <c r="W232" s="44"/>
      <c r="X232" s="44"/>
      <c r="Y232" s="44"/>
      <c r="Z232" s="44"/>
      <c r="AA232" s="44"/>
      <c r="AB232" s="42"/>
      <c r="AC232" s="47" t="s">
        <v>97</v>
      </c>
      <c r="AD232" s="48"/>
      <c r="AE232" s="43"/>
      <c r="AF232" s="43"/>
      <c r="AG232" s="43"/>
      <c r="AH232" s="43"/>
      <c r="AI232" s="55"/>
      <c r="AJ232" s="52"/>
      <c r="AT232" s="52"/>
      <c r="AU232" s="59"/>
      <c r="AV232" s="58"/>
      <c r="AW232" s="58"/>
      <c r="AX232" s="54" t="s">
        <v>69</v>
      </c>
      <c r="AY232" s="43" t="s">
        <v>70</v>
      </c>
      <c r="AZ232" s="43" t="s">
        <v>70</v>
      </c>
      <c r="BA232" s="43" t="s">
        <v>71</v>
      </c>
      <c r="BB232" s="43" t="s">
        <v>69</v>
      </c>
      <c r="BC232" s="51">
        <v>31</v>
      </c>
      <c r="BD232" s="43" t="s">
        <v>70</v>
      </c>
      <c r="BE232" s="9">
        <f t="shared" si="10"/>
        <v>223</v>
      </c>
      <c r="BF232" s="9" t="str">
        <f t="shared" si="9"/>
        <v>..</v>
      </c>
    </row>
    <row r="233" spans="1:58" ht="18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1" t="s">
        <v>93</v>
      </c>
      <c r="N233" s="44"/>
      <c r="O233" s="44"/>
      <c r="P233" s="44"/>
      <c r="Q233" s="45"/>
      <c r="R233" s="46"/>
      <c r="S233" s="46"/>
      <c r="T233" s="46"/>
      <c r="U233" s="44" t="s">
        <v>96</v>
      </c>
      <c r="V233" s="46"/>
      <c r="W233" s="44"/>
      <c r="X233" s="44"/>
      <c r="Y233" s="44"/>
      <c r="Z233" s="44"/>
      <c r="AA233" s="44"/>
      <c r="AB233" s="42"/>
      <c r="AC233" s="47" t="s">
        <v>97</v>
      </c>
      <c r="AD233" s="48"/>
      <c r="AE233" s="43"/>
      <c r="AF233" s="43"/>
      <c r="AG233" s="43"/>
      <c r="AH233" s="43"/>
      <c r="AI233" s="55"/>
      <c r="AJ233" s="52"/>
      <c r="AT233" s="52"/>
      <c r="AU233" s="59"/>
      <c r="AV233" s="58"/>
      <c r="AW233" s="58"/>
      <c r="AX233" s="54" t="s">
        <v>69</v>
      </c>
      <c r="AY233" s="43" t="s">
        <v>70</v>
      </c>
      <c r="AZ233" s="43" t="s">
        <v>70</v>
      </c>
      <c r="BA233" s="43" t="s">
        <v>71</v>
      </c>
      <c r="BB233" s="43" t="s">
        <v>69</v>
      </c>
      <c r="BC233" s="51">
        <v>31</v>
      </c>
      <c r="BD233" s="43" t="s">
        <v>70</v>
      </c>
      <c r="BE233" s="9">
        <f t="shared" si="10"/>
        <v>224</v>
      </c>
      <c r="BF233" s="9" t="str">
        <f t="shared" si="9"/>
        <v>..</v>
      </c>
    </row>
    <row r="234" spans="1:58" ht="18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1" t="s">
        <v>93</v>
      </c>
      <c r="N234" s="44"/>
      <c r="O234" s="44"/>
      <c r="P234" s="44"/>
      <c r="Q234" s="45"/>
      <c r="R234" s="46"/>
      <c r="S234" s="46"/>
      <c r="T234" s="46"/>
      <c r="U234" s="44" t="s">
        <v>96</v>
      </c>
      <c r="V234" s="46"/>
      <c r="W234" s="44"/>
      <c r="X234" s="44"/>
      <c r="Y234" s="44"/>
      <c r="Z234" s="44"/>
      <c r="AA234" s="44"/>
      <c r="AB234" s="42"/>
      <c r="AC234" s="47" t="s">
        <v>97</v>
      </c>
      <c r="AD234" s="48"/>
      <c r="AE234" s="43"/>
      <c r="AF234" s="43"/>
      <c r="AG234" s="43"/>
      <c r="AH234" s="43"/>
      <c r="AI234" s="55"/>
      <c r="AJ234" s="52"/>
      <c r="AT234" s="52"/>
      <c r="AU234" s="59"/>
      <c r="AV234" s="58"/>
      <c r="AW234" s="58"/>
      <c r="AX234" s="54" t="s">
        <v>69</v>
      </c>
      <c r="AY234" s="43" t="s">
        <v>70</v>
      </c>
      <c r="AZ234" s="43" t="s">
        <v>70</v>
      </c>
      <c r="BA234" s="43" t="s">
        <v>71</v>
      </c>
      <c r="BB234" s="43" t="s">
        <v>69</v>
      </c>
      <c r="BC234" s="51">
        <v>31</v>
      </c>
      <c r="BD234" s="43" t="s">
        <v>70</v>
      </c>
      <c r="BE234" s="9">
        <f t="shared" si="10"/>
        <v>225</v>
      </c>
      <c r="BF234" s="9" t="str">
        <f t="shared" si="9"/>
        <v>..</v>
      </c>
    </row>
    <row r="235" spans="1:58" ht="18" customHeight="1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1" t="s">
        <v>93</v>
      </c>
      <c r="N235" s="44"/>
      <c r="O235" s="44"/>
      <c r="P235" s="44"/>
      <c r="Q235" s="45"/>
      <c r="R235" s="46"/>
      <c r="S235" s="46"/>
      <c r="T235" s="46"/>
      <c r="U235" s="44" t="s">
        <v>96</v>
      </c>
      <c r="V235" s="46"/>
      <c r="W235" s="44"/>
      <c r="X235" s="44"/>
      <c r="Y235" s="44"/>
      <c r="Z235" s="44"/>
      <c r="AA235" s="44"/>
      <c r="AB235" s="42"/>
      <c r="AC235" s="47" t="s">
        <v>97</v>
      </c>
      <c r="AD235" s="48"/>
      <c r="AE235" s="43"/>
      <c r="AF235" s="43"/>
      <c r="AG235" s="43"/>
      <c r="AH235" s="43"/>
      <c r="AI235" s="55"/>
      <c r="AJ235" s="52"/>
      <c r="AT235" s="52"/>
      <c r="AU235" s="59"/>
      <c r="AV235" s="58"/>
      <c r="AW235" s="58"/>
      <c r="AX235" s="54" t="s">
        <v>69</v>
      </c>
      <c r="AY235" s="43" t="s">
        <v>70</v>
      </c>
      <c r="AZ235" s="43" t="s">
        <v>70</v>
      </c>
      <c r="BA235" s="43" t="s">
        <v>71</v>
      </c>
      <c r="BB235" s="43" t="s">
        <v>69</v>
      </c>
      <c r="BC235" s="51">
        <v>31</v>
      </c>
      <c r="BD235" s="43" t="s">
        <v>70</v>
      </c>
      <c r="BE235" s="9">
        <f t="shared" si="10"/>
        <v>226</v>
      </c>
      <c r="BF235" s="9" t="str">
        <f t="shared" si="9"/>
        <v>..</v>
      </c>
    </row>
    <row r="236" spans="1:58" ht="18" customHeight="1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1" t="s">
        <v>93</v>
      </c>
      <c r="N236" s="44"/>
      <c r="O236" s="44"/>
      <c r="P236" s="44"/>
      <c r="Q236" s="45"/>
      <c r="R236" s="46"/>
      <c r="S236" s="46"/>
      <c r="T236" s="46"/>
      <c r="U236" s="44" t="s">
        <v>96</v>
      </c>
      <c r="V236" s="46"/>
      <c r="W236" s="44"/>
      <c r="X236" s="44"/>
      <c r="Y236" s="44"/>
      <c r="Z236" s="44"/>
      <c r="AA236" s="44"/>
      <c r="AB236" s="42"/>
      <c r="AC236" s="47" t="s">
        <v>97</v>
      </c>
      <c r="AD236" s="48"/>
      <c r="AE236" s="43"/>
      <c r="AF236" s="43"/>
      <c r="AG236" s="43"/>
      <c r="AH236" s="43"/>
      <c r="AI236" s="55"/>
      <c r="AJ236" s="52"/>
      <c r="AT236" s="52"/>
      <c r="AU236" s="59"/>
      <c r="AV236" s="58"/>
      <c r="AW236" s="58"/>
      <c r="AX236" s="54" t="s">
        <v>69</v>
      </c>
      <c r="AY236" s="43" t="s">
        <v>70</v>
      </c>
      <c r="AZ236" s="43" t="s">
        <v>70</v>
      </c>
      <c r="BA236" s="43" t="s">
        <v>71</v>
      </c>
      <c r="BB236" s="43" t="s">
        <v>69</v>
      </c>
      <c r="BC236" s="51">
        <v>31</v>
      </c>
      <c r="BD236" s="43" t="s">
        <v>70</v>
      </c>
      <c r="BE236" s="9">
        <f t="shared" si="10"/>
        <v>227</v>
      </c>
      <c r="BF236" s="9" t="str">
        <f t="shared" si="9"/>
        <v>..</v>
      </c>
    </row>
    <row r="237" spans="1:58" ht="18" customHeight="1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1" t="s">
        <v>93</v>
      </c>
      <c r="N237" s="44"/>
      <c r="O237" s="44"/>
      <c r="P237" s="44"/>
      <c r="Q237" s="45"/>
      <c r="R237" s="46"/>
      <c r="S237" s="46"/>
      <c r="T237" s="46"/>
      <c r="U237" s="44" t="s">
        <v>96</v>
      </c>
      <c r="V237" s="46"/>
      <c r="W237" s="44"/>
      <c r="X237" s="44"/>
      <c r="Y237" s="44"/>
      <c r="Z237" s="44"/>
      <c r="AA237" s="44"/>
      <c r="AB237" s="42"/>
      <c r="AC237" s="47" t="s">
        <v>97</v>
      </c>
      <c r="AD237" s="48"/>
      <c r="AE237" s="43"/>
      <c r="AF237" s="43"/>
      <c r="AG237" s="43"/>
      <c r="AH237" s="43"/>
      <c r="AI237" s="55"/>
      <c r="AJ237" s="52"/>
      <c r="AT237" s="52"/>
      <c r="AU237" s="59"/>
      <c r="AV237" s="58"/>
      <c r="AW237" s="58"/>
      <c r="AX237" s="54" t="s">
        <v>69</v>
      </c>
      <c r="AY237" s="43" t="s">
        <v>70</v>
      </c>
      <c r="AZ237" s="43" t="s">
        <v>70</v>
      </c>
      <c r="BA237" s="43" t="s">
        <v>71</v>
      </c>
      <c r="BB237" s="43" t="s">
        <v>69</v>
      </c>
      <c r="BC237" s="51">
        <v>31</v>
      </c>
      <c r="BD237" s="43" t="s">
        <v>70</v>
      </c>
      <c r="BE237" s="9">
        <f t="shared" si="10"/>
        <v>228</v>
      </c>
      <c r="BF237" s="9" t="str">
        <f t="shared" si="9"/>
        <v>..</v>
      </c>
    </row>
    <row r="238" spans="1:58" ht="18" customHeight="1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1" t="s">
        <v>93</v>
      </c>
      <c r="N238" s="44"/>
      <c r="O238" s="44"/>
      <c r="P238" s="44"/>
      <c r="Q238" s="45"/>
      <c r="R238" s="46"/>
      <c r="S238" s="46"/>
      <c r="T238" s="46"/>
      <c r="U238" s="44" t="s">
        <v>96</v>
      </c>
      <c r="V238" s="46"/>
      <c r="W238" s="44"/>
      <c r="X238" s="44"/>
      <c r="Y238" s="44"/>
      <c r="Z238" s="44"/>
      <c r="AA238" s="44"/>
      <c r="AB238" s="42"/>
      <c r="AC238" s="47" t="s">
        <v>97</v>
      </c>
      <c r="AD238" s="48"/>
      <c r="AE238" s="43"/>
      <c r="AF238" s="43"/>
      <c r="AG238" s="43"/>
      <c r="AH238" s="43"/>
      <c r="AI238" s="55"/>
      <c r="AJ238" s="52"/>
      <c r="AT238" s="52"/>
      <c r="AU238" s="59"/>
      <c r="AV238" s="58"/>
      <c r="AW238" s="58"/>
      <c r="AX238" s="54" t="s">
        <v>69</v>
      </c>
      <c r="AY238" s="43" t="s">
        <v>70</v>
      </c>
      <c r="AZ238" s="43" t="s">
        <v>70</v>
      </c>
      <c r="BA238" s="43" t="s">
        <v>71</v>
      </c>
      <c r="BB238" s="43" t="s">
        <v>69</v>
      </c>
      <c r="BC238" s="51">
        <v>31</v>
      </c>
      <c r="BD238" s="43" t="s">
        <v>70</v>
      </c>
      <c r="BE238" s="9">
        <f t="shared" si="10"/>
        <v>229</v>
      </c>
      <c r="BF238" s="9" t="str">
        <f t="shared" si="9"/>
        <v>..</v>
      </c>
    </row>
    <row r="239" spans="1:58" ht="18" customHeight="1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1" t="s">
        <v>93</v>
      </c>
      <c r="N239" s="44"/>
      <c r="O239" s="44"/>
      <c r="P239" s="44"/>
      <c r="Q239" s="45"/>
      <c r="R239" s="46"/>
      <c r="S239" s="46"/>
      <c r="T239" s="46"/>
      <c r="U239" s="44" t="s">
        <v>96</v>
      </c>
      <c r="V239" s="46"/>
      <c r="W239" s="44"/>
      <c r="X239" s="44"/>
      <c r="Y239" s="44"/>
      <c r="Z239" s="44"/>
      <c r="AA239" s="44"/>
      <c r="AB239" s="42"/>
      <c r="AC239" s="47" t="s">
        <v>97</v>
      </c>
      <c r="AD239" s="48"/>
      <c r="AE239" s="43"/>
      <c r="AF239" s="43"/>
      <c r="AG239" s="43"/>
      <c r="AH239" s="43"/>
      <c r="AI239" s="55"/>
      <c r="AJ239" s="52"/>
      <c r="AT239" s="52"/>
      <c r="AU239" s="59"/>
      <c r="AV239" s="58"/>
      <c r="AW239" s="58"/>
      <c r="AX239" s="54" t="s">
        <v>69</v>
      </c>
      <c r="AY239" s="43" t="s">
        <v>70</v>
      </c>
      <c r="AZ239" s="43" t="s">
        <v>70</v>
      </c>
      <c r="BA239" s="43" t="s">
        <v>71</v>
      </c>
      <c r="BB239" s="43" t="s">
        <v>69</v>
      </c>
      <c r="BC239" s="51">
        <v>31</v>
      </c>
      <c r="BD239" s="43" t="s">
        <v>70</v>
      </c>
      <c r="BE239" s="9">
        <f t="shared" si="10"/>
        <v>230</v>
      </c>
      <c r="BF239" s="9" t="str">
        <f t="shared" si="9"/>
        <v>..</v>
      </c>
    </row>
    <row r="240" spans="1:58" ht="18" customHeight="1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1" t="s">
        <v>93</v>
      </c>
      <c r="N240" s="44"/>
      <c r="O240" s="44"/>
      <c r="P240" s="44"/>
      <c r="Q240" s="45"/>
      <c r="R240" s="46"/>
      <c r="S240" s="46"/>
      <c r="T240" s="46"/>
      <c r="U240" s="44" t="s">
        <v>96</v>
      </c>
      <c r="V240" s="46"/>
      <c r="W240" s="44"/>
      <c r="X240" s="44"/>
      <c r="Y240" s="44"/>
      <c r="Z240" s="44"/>
      <c r="AA240" s="44"/>
      <c r="AB240" s="42"/>
      <c r="AC240" s="47" t="s">
        <v>97</v>
      </c>
      <c r="AD240" s="48"/>
      <c r="AE240" s="43"/>
      <c r="AF240" s="43"/>
      <c r="AG240" s="43"/>
      <c r="AH240" s="43"/>
      <c r="AI240" s="55"/>
      <c r="AJ240" s="52"/>
      <c r="AT240" s="52"/>
      <c r="AU240" s="59"/>
      <c r="AV240" s="58"/>
      <c r="AW240" s="58"/>
      <c r="AX240" s="54" t="s">
        <v>69</v>
      </c>
      <c r="AY240" s="43" t="s">
        <v>70</v>
      </c>
      <c r="AZ240" s="43" t="s">
        <v>70</v>
      </c>
      <c r="BA240" s="43" t="s">
        <v>71</v>
      </c>
      <c r="BB240" s="43" t="s">
        <v>69</v>
      </c>
      <c r="BC240" s="51">
        <v>31</v>
      </c>
      <c r="BD240" s="43" t="s">
        <v>70</v>
      </c>
      <c r="BE240" s="9">
        <f t="shared" si="10"/>
        <v>231</v>
      </c>
      <c r="BF240" s="9" t="str">
        <f t="shared" si="9"/>
        <v>..</v>
      </c>
    </row>
    <row r="241" spans="1:58" ht="18" customHeight="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1" t="s">
        <v>93</v>
      </c>
      <c r="N241" s="44"/>
      <c r="O241" s="44"/>
      <c r="P241" s="44"/>
      <c r="Q241" s="45"/>
      <c r="R241" s="46"/>
      <c r="S241" s="46"/>
      <c r="T241" s="46"/>
      <c r="U241" s="44" t="s">
        <v>96</v>
      </c>
      <c r="V241" s="46"/>
      <c r="W241" s="44"/>
      <c r="X241" s="44"/>
      <c r="Y241" s="44"/>
      <c r="Z241" s="44"/>
      <c r="AA241" s="44"/>
      <c r="AB241" s="42"/>
      <c r="AC241" s="47" t="s">
        <v>97</v>
      </c>
      <c r="AD241" s="48"/>
      <c r="AE241" s="43"/>
      <c r="AF241" s="43"/>
      <c r="AG241" s="43"/>
      <c r="AH241" s="43"/>
      <c r="AI241" s="55"/>
      <c r="AJ241" s="52"/>
      <c r="AT241" s="52"/>
      <c r="AU241" s="59"/>
      <c r="AV241" s="58"/>
      <c r="AW241" s="58"/>
      <c r="AX241" s="54" t="s">
        <v>69</v>
      </c>
      <c r="AY241" s="43" t="s">
        <v>70</v>
      </c>
      <c r="AZ241" s="43" t="s">
        <v>70</v>
      </c>
      <c r="BA241" s="43" t="s">
        <v>71</v>
      </c>
      <c r="BB241" s="43" t="s">
        <v>69</v>
      </c>
      <c r="BC241" s="51">
        <v>31</v>
      </c>
      <c r="BD241" s="43" t="s">
        <v>70</v>
      </c>
      <c r="BE241" s="9">
        <f t="shared" si="10"/>
        <v>232</v>
      </c>
      <c r="BF241" s="9" t="str">
        <f t="shared" si="9"/>
        <v>..</v>
      </c>
    </row>
    <row r="242" spans="1:58" ht="18" customHeight="1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1" t="s">
        <v>93</v>
      </c>
      <c r="N242" s="44"/>
      <c r="O242" s="44"/>
      <c r="P242" s="44"/>
      <c r="Q242" s="45"/>
      <c r="R242" s="46"/>
      <c r="S242" s="46"/>
      <c r="T242" s="46"/>
      <c r="U242" s="44" t="s">
        <v>96</v>
      </c>
      <c r="V242" s="46"/>
      <c r="W242" s="44"/>
      <c r="X242" s="44"/>
      <c r="Y242" s="44"/>
      <c r="Z242" s="44"/>
      <c r="AA242" s="44"/>
      <c r="AB242" s="42"/>
      <c r="AC242" s="47" t="s">
        <v>97</v>
      </c>
      <c r="AD242" s="48"/>
      <c r="AE242" s="43"/>
      <c r="AF242" s="43"/>
      <c r="AG242" s="43"/>
      <c r="AH242" s="43"/>
      <c r="AI242" s="55"/>
      <c r="AJ242" s="52"/>
      <c r="AT242" s="52"/>
      <c r="AU242" s="59"/>
      <c r="AV242" s="58"/>
      <c r="AW242" s="58"/>
      <c r="AX242" s="54" t="s">
        <v>69</v>
      </c>
      <c r="AY242" s="43" t="s">
        <v>70</v>
      </c>
      <c r="AZ242" s="43" t="s">
        <v>70</v>
      </c>
      <c r="BA242" s="43" t="s">
        <v>71</v>
      </c>
      <c r="BB242" s="43" t="s">
        <v>69</v>
      </c>
      <c r="BC242" s="51">
        <v>31</v>
      </c>
      <c r="BD242" s="43" t="s">
        <v>70</v>
      </c>
      <c r="BE242" s="9">
        <f t="shared" si="10"/>
        <v>233</v>
      </c>
      <c r="BF242" s="9" t="str">
        <f t="shared" si="9"/>
        <v>..</v>
      </c>
    </row>
    <row r="243" spans="1:58" ht="18" customHeight="1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1" t="s">
        <v>93</v>
      </c>
      <c r="N243" s="44"/>
      <c r="O243" s="44"/>
      <c r="P243" s="44"/>
      <c r="Q243" s="45"/>
      <c r="R243" s="46"/>
      <c r="S243" s="46"/>
      <c r="T243" s="46"/>
      <c r="U243" s="44" t="s">
        <v>96</v>
      </c>
      <c r="V243" s="46"/>
      <c r="W243" s="44"/>
      <c r="X243" s="44"/>
      <c r="Y243" s="44"/>
      <c r="Z243" s="44"/>
      <c r="AA243" s="44"/>
      <c r="AB243" s="42"/>
      <c r="AC243" s="47" t="s">
        <v>97</v>
      </c>
      <c r="AD243" s="48"/>
      <c r="AE243" s="43"/>
      <c r="AF243" s="43"/>
      <c r="AG243" s="43"/>
      <c r="AH243" s="43"/>
      <c r="AI243" s="55"/>
      <c r="AJ243" s="52"/>
      <c r="AT243" s="52"/>
      <c r="AU243" s="59"/>
      <c r="AV243" s="58"/>
      <c r="AW243" s="58"/>
      <c r="AX243" s="54" t="s">
        <v>69</v>
      </c>
      <c r="AY243" s="43" t="s">
        <v>70</v>
      </c>
      <c r="AZ243" s="43" t="s">
        <v>70</v>
      </c>
      <c r="BA243" s="43" t="s">
        <v>71</v>
      </c>
      <c r="BB243" s="43" t="s">
        <v>69</v>
      </c>
      <c r="BC243" s="51">
        <v>31</v>
      </c>
      <c r="BD243" s="43" t="s">
        <v>70</v>
      </c>
      <c r="BE243" s="9">
        <f t="shared" si="10"/>
        <v>234</v>
      </c>
      <c r="BF243" s="9" t="str">
        <f t="shared" si="9"/>
        <v>..</v>
      </c>
    </row>
    <row r="244" spans="1:58" ht="18" customHeight="1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1" t="s">
        <v>93</v>
      </c>
      <c r="N244" s="44"/>
      <c r="O244" s="44"/>
      <c r="P244" s="44"/>
      <c r="Q244" s="45"/>
      <c r="R244" s="46"/>
      <c r="S244" s="46"/>
      <c r="T244" s="46"/>
      <c r="U244" s="44" t="s">
        <v>96</v>
      </c>
      <c r="V244" s="46"/>
      <c r="W244" s="44"/>
      <c r="X244" s="44"/>
      <c r="Y244" s="44"/>
      <c r="Z244" s="44"/>
      <c r="AA244" s="44"/>
      <c r="AB244" s="42"/>
      <c r="AC244" s="47" t="s">
        <v>97</v>
      </c>
      <c r="AD244" s="48"/>
      <c r="AE244" s="43"/>
      <c r="AF244" s="43"/>
      <c r="AG244" s="43"/>
      <c r="AH244" s="43"/>
      <c r="AI244" s="55"/>
      <c r="AJ244" s="52"/>
      <c r="AT244" s="52"/>
      <c r="AU244" s="59"/>
      <c r="AV244" s="58"/>
      <c r="AW244" s="58"/>
      <c r="AX244" s="54" t="s">
        <v>69</v>
      </c>
      <c r="AY244" s="43" t="s">
        <v>70</v>
      </c>
      <c r="AZ244" s="43" t="s">
        <v>70</v>
      </c>
      <c r="BA244" s="43" t="s">
        <v>71</v>
      </c>
      <c r="BB244" s="43" t="s">
        <v>69</v>
      </c>
      <c r="BC244" s="51">
        <v>31</v>
      </c>
      <c r="BD244" s="43" t="s">
        <v>70</v>
      </c>
      <c r="BE244" s="9">
        <f t="shared" si="10"/>
        <v>235</v>
      </c>
      <c r="BF244" s="9" t="str">
        <f t="shared" si="9"/>
        <v>..</v>
      </c>
    </row>
    <row r="245" spans="1:58" ht="18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1" t="s">
        <v>93</v>
      </c>
      <c r="N245" s="44"/>
      <c r="O245" s="44"/>
      <c r="P245" s="44"/>
      <c r="Q245" s="45"/>
      <c r="R245" s="46"/>
      <c r="S245" s="46"/>
      <c r="T245" s="46"/>
      <c r="U245" s="44" t="s">
        <v>96</v>
      </c>
      <c r="V245" s="46"/>
      <c r="W245" s="44"/>
      <c r="X245" s="44"/>
      <c r="Y245" s="44"/>
      <c r="Z245" s="44"/>
      <c r="AA245" s="44"/>
      <c r="AB245" s="42"/>
      <c r="AC245" s="47" t="s">
        <v>97</v>
      </c>
      <c r="AD245" s="48"/>
      <c r="AE245" s="43"/>
      <c r="AF245" s="43"/>
      <c r="AG245" s="43"/>
      <c r="AH245" s="43"/>
      <c r="AI245" s="55"/>
      <c r="AJ245" s="52"/>
      <c r="AT245" s="52"/>
      <c r="AU245" s="59"/>
      <c r="AV245" s="58"/>
      <c r="AW245" s="58"/>
      <c r="AX245" s="54" t="s">
        <v>69</v>
      </c>
      <c r="AY245" s="43" t="s">
        <v>70</v>
      </c>
      <c r="AZ245" s="43" t="s">
        <v>70</v>
      </c>
      <c r="BA245" s="43" t="s">
        <v>71</v>
      </c>
      <c r="BB245" s="43" t="s">
        <v>69</v>
      </c>
      <c r="BC245" s="51">
        <v>31</v>
      </c>
      <c r="BD245" s="43" t="s">
        <v>70</v>
      </c>
      <c r="BE245" s="9">
        <f t="shared" si="10"/>
        <v>236</v>
      </c>
      <c r="BF245" s="9" t="str">
        <f t="shared" si="9"/>
        <v>..</v>
      </c>
    </row>
    <row r="246" spans="1:58" ht="18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1" t="s">
        <v>93</v>
      </c>
      <c r="N246" s="44"/>
      <c r="O246" s="44"/>
      <c r="P246" s="44"/>
      <c r="Q246" s="45"/>
      <c r="R246" s="46"/>
      <c r="S246" s="46"/>
      <c r="T246" s="46"/>
      <c r="U246" s="44" t="s">
        <v>96</v>
      </c>
      <c r="V246" s="46"/>
      <c r="W246" s="44"/>
      <c r="X246" s="44"/>
      <c r="Y246" s="44"/>
      <c r="Z246" s="44"/>
      <c r="AA246" s="44"/>
      <c r="AB246" s="42"/>
      <c r="AC246" s="47" t="s">
        <v>97</v>
      </c>
      <c r="AD246" s="48"/>
      <c r="AE246" s="43"/>
      <c r="AF246" s="43"/>
      <c r="AG246" s="43"/>
      <c r="AH246" s="43"/>
      <c r="AI246" s="55"/>
      <c r="AJ246" s="52"/>
      <c r="AT246" s="52"/>
      <c r="AU246" s="59"/>
      <c r="AV246" s="58"/>
      <c r="AW246" s="58"/>
      <c r="AX246" s="54" t="s">
        <v>69</v>
      </c>
      <c r="AY246" s="43" t="s">
        <v>70</v>
      </c>
      <c r="AZ246" s="43" t="s">
        <v>70</v>
      </c>
      <c r="BA246" s="43" t="s">
        <v>71</v>
      </c>
      <c r="BB246" s="43" t="s">
        <v>69</v>
      </c>
      <c r="BC246" s="51">
        <v>31</v>
      </c>
      <c r="BD246" s="43" t="s">
        <v>70</v>
      </c>
      <c r="BE246" s="9">
        <f t="shared" si="10"/>
        <v>237</v>
      </c>
      <c r="BF246" s="9" t="str">
        <f t="shared" si="9"/>
        <v>..</v>
      </c>
    </row>
    <row r="247" spans="1:58" ht="18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1" t="s">
        <v>93</v>
      </c>
      <c r="N247" s="44"/>
      <c r="O247" s="44"/>
      <c r="P247" s="44"/>
      <c r="Q247" s="45"/>
      <c r="R247" s="46"/>
      <c r="S247" s="46"/>
      <c r="T247" s="46"/>
      <c r="U247" s="44" t="s">
        <v>96</v>
      </c>
      <c r="V247" s="46"/>
      <c r="W247" s="44"/>
      <c r="X247" s="44"/>
      <c r="Y247" s="44"/>
      <c r="Z247" s="44"/>
      <c r="AA247" s="44"/>
      <c r="AB247" s="42"/>
      <c r="AC247" s="47" t="s">
        <v>97</v>
      </c>
      <c r="AD247" s="48"/>
      <c r="AE247" s="43"/>
      <c r="AF247" s="43"/>
      <c r="AG247" s="43"/>
      <c r="AH247" s="43"/>
      <c r="AI247" s="55"/>
      <c r="AJ247" s="52"/>
      <c r="AT247" s="52"/>
      <c r="AU247" s="59"/>
      <c r="AV247" s="58"/>
      <c r="AW247" s="58"/>
      <c r="AX247" s="54" t="s">
        <v>69</v>
      </c>
      <c r="AY247" s="43" t="s">
        <v>70</v>
      </c>
      <c r="AZ247" s="43" t="s">
        <v>70</v>
      </c>
      <c r="BA247" s="43" t="s">
        <v>71</v>
      </c>
      <c r="BB247" s="43" t="s">
        <v>69</v>
      </c>
      <c r="BC247" s="51">
        <v>31</v>
      </c>
      <c r="BD247" s="43" t="s">
        <v>70</v>
      </c>
      <c r="BE247" s="9">
        <f t="shared" si="10"/>
        <v>238</v>
      </c>
      <c r="BF247" s="9" t="str">
        <f t="shared" si="9"/>
        <v>..</v>
      </c>
    </row>
    <row r="248" spans="1:58" ht="18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1" t="s">
        <v>93</v>
      </c>
      <c r="N248" s="44"/>
      <c r="O248" s="44"/>
      <c r="P248" s="44"/>
      <c r="Q248" s="45"/>
      <c r="R248" s="46"/>
      <c r="S248" s="46"/>
      <c r="T248" s="46"/>
      <c r="U248" s="44" t="s">
        <v>96</v>
      </c>
      <c r="V248" s="46"/>
      <c r="W248" s="44"/>
      <c r="X248" s="44"/>
      <c r="Y248" s="44"/>
      <c r="Z248" s="44"/>
      <c r="AA248" s="44"/>
      <c r="AB248" s="42"/>
      <c r="AC248" s="47" t="s">
        <v>97</v>
      </c>
      <c r="AD248" s="48"/>
      <c r="AE248" s="43"/>
      <c r="AF248" s="43"/>
      <c r="AG248" s="43"/>
      <c r="AH248" s="43"/>
      <c r="AI248" s="55"/>
      <c r="AJ248" s="52"/>
      <c r="AT248" s="52"/>
      <c r="AU248" s="59"/>
      <c r="AV248" s="58"/>
      <c r="AW248" s="58"/>
      <c r="AX248" s="54" t="s">
        <v>69</v>
      </c>
      <c r="AY248" s="43" t="s">
        <v>70</v>
      </c>
      <c r="AZ248" s="43" t="s">
        <v>70</v>
      </c>
      <c r="BA248" s="43" t="s">
        <v>71</v>
      </c>
      <c r="BB248" s="43" t="s">
        <v>69</v>
      </c>
      <c r="BC248" s="51">
        <v>31</v>
      </c>
      <c r="BD248" s="43" t="s">
        <v>70</v>
      </c>
      <c r="BE248" s="9">
        <f t="shared" si="10"/>
        <v>239</v>
      </c>
      <c r="BF248" s="9" t="str">
        <f t="shared" si="9"/>
        <v>..</v>
      </c>
    </row>
    <row r="249" spans="1:58" ht="18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1" t="s">
        <v>93</v>
      </c>
      <c r="N249" s="44"/>
      <c r="O249" s="44"/>
      <c r="P249" s="44"/>
      <c r="Q249" s="45"/>
      <c r="R249" s="46"/>
      <c r="S249" s="46"/>
      <c r="T249" s="46"/>
      <c r="U249" s="44" t="s">
        <v>96</v>
      </c>
      <c r="V249" s="46"/>
      <c r="W249" s="44"/>
      <c r="X249" s="44"/>
      <c r="Y249" s="44"/>
      <c r="Z249" s="44"/>
      <c r="AA249" s="44"/>
      <c r="AB249" s="42"/>
      <c r="AC249" s="47" t="s">
        <v>97</v>
      </c>
      <c r="AD249" s="48"/>
      <c r="AE249" s="43"/>
      <c r="AF249" s="43"/>
      <c r="AG249" s="43"/>
      <c r="AH249" s="43"/>
      <c r="AI249" s="55"/>
      <c r="AJ249" s="52"/>
      <c r="AT249" s="52"/>
      <c r="AU249" s="59"/>
      <c r="AV249" s="58"/>
      <c r="AW249" s="58"/>
      <c r="AX249" s="54" t="s">
        <v>69</v>
      </c>
      <c r="AY249" s="43" t="s">
        <v>70</v>
      </c>
      <c r="AZ249" s="43" t="s">
        <v>70</v>
      </c>
      <c r="BA249" s="43" t="s">
        <v>71</v>
      </c>
      <c r="BB249" s="43" t="s">
        <v>69</v>
      </c>
      <c r="BC249" s="51">
        <v>31</v>
      </c>
      <c r="BD249" s="43" t="s">
        <v>70</v>
      </c>
      <c r="BE249" s="9">
        <f t="shared" si="10"/>
        <v>240</v>
      </c>
      <c r="BF249" s="9" t="str">
        <f t="shared" si="9"/>
        <v>..</v>
      </c>
    </row>
    <row r="250" spans="1:58" ht="18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1" t="s">
        <v>93</v>
      </c>
      <c r="N250" s="44"/>
      <c r="O250" s="44"/>
      <c r="P250" s="44"/>
      <c r="Q250" s="45"/>
      <c r="R250" s="46"/>
      <c r="S250" s="46"/>
      <c r="T250" s="46"/>
      <c r="U250" s="44" t="s">
        <v>96</v>
      </c>
      <c r="V250" s="46"/>
      <c r="W250" s="44"/>
      <c r="X250" s="44"/>
      <c r="Y250" s="44"/>
      <c r="Z250" s="44"/>
      <c r="AA250" s="44"/>
      <c r="AB250" s="42"/>
      <c r="AC250" s="47" t="s">
        <v>97</v>
      </c>
      <c r="AD250" s="48"/>
      <c r="AE250" s="43"/>
      <c r="AF250" s="43"/>
      <c r="AG250" s="43"/>
      <c r="AH250" s="43"/>
      <c r="AI250" s="55"/>
      <c r="AJ250" s="52"/>
      <c r="AT250" s="52"/>
      <c r="AU250" s="59"/>
      <c r="AV250" s="58"/>
      <c r="AW250" s="58"/>
      <c r="AX250" s="54" t="s">
        <v>69</v>
      </c>
      <c r="AY250" s="43" t="s">
        <v>70</v>
      </c>
      <c r="AZ250" s="43" t="s">
        <v>70</v>
      </c>
      <c r="BA250" s="43" t="s">
        <v>71</v>
      </c>
      <c r="BB250" s="43" t="s">
        <v>69</v>
      </c>
      <c r="BC250" s="51">
        <v>31</v>
      </c>
      <c r="BD250" s="43" t="s">
        <v>70</v>
      </c>
      <c r="BE250" s="9">
        <f t="shared" si="10"/>
        <v>241</v>
      </c>
      <c r="BF250" s="9" t="str">
        <f t="shared" si="9"/>
        <v>..</v>
      </c>
    </row>
    <row r="251" spans="1:58" ht="18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1" t="s">
        <v>93</v>
      </c>
      <c r="N251" s="44"/>
      <c r="O251" s="44"/>
      <c r="P251" s="44"/>
      <c r="Q251" s="45"/>
      <c r="R251" s="46"/>
      <c r="S251" s="46"/>
      <c r="T251" s="46"/>
      <c r="U251" s="44" t="s">
        <v>96</v>
      </c>
      <c r="V251" s="46"/>
      <c r="W251" s="44"/>
      <c r="X251" s="44"/>
      <c r="Y251" s="44"/>
      <c r="Z251" s="44"/>
      <c r="AA251" s="44"/>
      <c r="AB251" s="42"/>
      <c r="AC251" s="47" t="s">
        <v>97</v>
      </c>
      <c r="AD251" s="48"/>
      <c r="AE251" s="43"/>
      <c r="AF251" s="43"/>
      <c r="AG251" s="43"/>
      <c r="AH251" s="43"/>
      <c r="AI251" s="55"/>
      <c r="AJ251" s="52"/>
      <c r="AT251" s="52"/>
      <c r="AU251" s="59"/>
      <c r="AV251" s="58"/>
      <c r="AW251" s="58"/>
      <c r="AX251" s="54" t="s">
        <v>69</v>
      </c>
      <c r="AY251" s="43" t="s">
        <v>70</v>
      </c>
      <c r="AZ251" s="43" t="s">
        <v>70</v>
      </c>
      <c r="BA251" s="43" t="s">
        <v>71</v>
      </c>
      <c r="BB251" s="43" t="s">
        <v>69</v>
      </c>
      <c r="BC251" s="51">
        <v>31</v>
      </c>
      <c r="BD251" s="43" t="s">
        <v>70</v>
      </c>
      <c r="BE251" s="9">
        <f t="shared" si="10"/>
        <v>242</v>
      </c>
      <c r="BF251" s="9" t="str">
        <f t="shared" ref="BF251:BF314" si="11">CONCATENATE(AB251,".",AD251,".",AJ251)</f>
        <v>..</v>
      </c>
    </row>
    <row r="252" spans="1:58" ht="18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1" t="s">
        <v>93</v>
      </c>
      <c r="N252" s="44"/>
      <c r="O252" s="44"/>
      <c r="P252" s="44"/>
      <c r="Q252" s="45"/>
      <c r="R252" s="46"/>
      <c r="S252" s="46"/>
      <c r="T252" s="46"/>
      <c r="U252" s="44" t="s">
        <v>96</v>
      </c>
      <c r="V252" s="46"/>
      <c r="W252" s="44"/>
      <c r="X252" s="44"/>
      <c r="Y252" s="44"/>
      <c r="Z252" s="44"/>
      <c r="AA252" s="44"/>
      <c r="AB252" s="42"/>
      <c r="AC252" s="47" t="s">
        <v>97</v>
      </c>
      <c r="AD252" s="48"/>
      <c r="AE252" s="43"/>
      <c r="AF252" s="43"/>
      <c r="AG252" s="43"/>
      <c r="AH252" s="43"/>
      <c r="AI252" s="55"/>
      <c r="AJ252" s="52"/>
      <c r="AT252" s="52"/>
      <c r="AU252" s="59"/>
      <c r="AV252" s="58"/>
      <c r="AW252" s="58"/>
      <c r="AX252" s="54" t="s">
        <v>69</v>
      </c>
      <c r="AY252" s="43" t="s">
        <v>70</v>
      </c>
      <c r="AZ252" s="43" t="s">
        <v>70</v>
      </c>
      <c r="BA252" s="43" t="s">
        <v>71</v>
      </c>
      <c r="BB252" s="43" t="s">
        <v>69</v>
      </c>
      <c r="BC252" s="51">
        <v>31</v>
      </c>
      <c r="BD252" s="43" t="s">
        <v>70</v>
      </c>
      <c r="BE252" s="9">
        <f t="shared" si="10"/>
        <v>243</v>
      </c>
      <c r="BF252" s="9" t="str">
        <f t="shared" si="11"/>
        <v>..</v>
      </c>
    </row>
    <row r="253" spans="1:58" ht="18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1" t="s">
        <v>93</v>
      </c>
      <c r="N253" s="44"/>
      <c r="O253" s="44"/>
      <c r="P253" s="44"/>
      <c r="Q253" s="45"/>
      <c r="R253" s="46"/>
      <c r="S253" s="46"/>
      <c r="T253" s="46"/>
      <c r="U253" s="44" t="s">
        <v>96</v>
      </c>
      <c r="V253" s="46"/>
      <c r="W253" s="44"/>
      <c r="X253" s="44"/>
      <c r="Y253" s="44"/>
      <c r="Z253" s="44"/>
      <c r="AA253" s="44"/>
      <c r="AB253" s="42"/>
      <c r="AC253" s="47" t="s">
        <v>97</v>
      </c>
      <c r="AD253" s="48"/>
      <c r="AE253" s="43"/>
      <c r="AF253" s="43"/>
      <c r="AG253" s="43"/>
      <c r="AH253" s="43"/>
      <c r="AI253" s="55"/>
      <c r="AJ253" s="52"/>
      <c r="AT253" s="52"/>
      <c r="AU253" s="59"/>
      <c r="AV253" s="58"/>
      <c r="AW253" s="58"/>
      <c r="AX253" s="54" t="s">
        <v>69</v>
      </c>
      <c r="AY253" s="43" t="s">
        <v>70</v>
      </c>
      <c r="AZ253" s="43" t="s">
        <v>70</v>
      </c>
      <c r="BA253" s="43" t="s">
        <v>71</v>
      </c>
      <c r="BB253" s="43" t="s">
        <v>69</v>
      </c>
      <c r="BC253" s="51">
        <v>31</v>
      </c>
      <c r="BD253" s="43" t="s">
        <v>70</v>
      </c>
      <c r="BE253" s="9">
        <f t="shared" si="10"/>
        <v>244</v>
      </c>
      <c r="BF253" s="9" t="str">
        <f t="shared" si="11"/>
        <v>..</v>
      </c>
    </row>
    <row r="254" spans="1:58" ht="18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1" t="s">
        <v>93</v>
      </c>
      <c r="N254" s="44"/>
      <c r="O254" s="44"/>
      <c r="P254" s="44"/>
      <c r="Q254" s="45"/>
      <c r="R254" s="46"/>
      <c r="S254" s="46"/>
      <c r="T254" s="46"/>
      <c r="U254" s="44" t="s">
        <v>96</v>
      </c>
      <c r="V254" s="46"/>
      <c r="W254" s="44"/>
      <c r="X254" s="44"/>
      <c r="Y254" s="44"/>
      <c r="Z254" s="44"/>
      <c r="AA254" s="44"/>
      <c r="AB254" s="42"/>
      <c r="AC254" s="47" t="s">
        <v>97</v>
      </c>
      <c r="AD254" s="48"/>
      <c r="AE254" s="43"/>
      <c r="AF254" s="43"/>
      <c r="AG254" s="43"/>
      <c r="AH254" s="43"/>
      <c r="AI254" s="55"/>
      <c r="AJ254" s="52"/>
      <c r="AT254" s="52"/>
      <c r="AU254" s="59"/>
      <c r="AV254" s="58"/>
      <c r="AW254" s="58"/>
      <c r="AX254" s="54" t="s">
        <v>69</v>
      </c>
      <c r="AY254" s="43" t="s">
        <v>70</v>
      </c>
      <c r="AZ254" s="43" t="s">
        <v>70</v>
      </c>
      <c r="BA254" s="43" t="s">
        <v>71</v>
      </c>
      <c r="BB254" s="43" t="s">
        <v>69</v>
      </c>
      <c r="BC254" s="51">
        <v>31</v>
      </c>
      <c r="BD254" s="43" t="s">
        <v>70</v>
      </c>
      <c r="BE254" s="9">
        <f t="shared" si="10"/>
        <v>245</v>
      </c>
      <c r="BF254" s="9" t="str">
        <f t="shared" si="11"/>
        <v>..</v>
      </c>
    </row>
    <row r="255" spans="1:58" ht="18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1" t="s">
        <v>93</v>
      </c>
      <c r="N255" s="44"/>
      <c r="O255" s="44"/>
      <c r="P255" s="44"/>
      <c r="Q255" s="45"/>
      <c r="R255" s="46"/>
      <c r="S255" s="46"/>
      <c r="T255" s="46"/>
      <c r="U255" s="44" t="s">
        <v>96</v>
      </c>
      <c r="V255" s="46"/>
      <c r="W255" s="44"/>
      <c r="X255" s="44"/>
      <c r="Y255" s="44"/>
      <c r="Z255" s="44"/>
      <c r="AA255" s="44"/>
      <c r="AB255" s="42"/>
      <c r="AC255" s="47" t="s">
        <v>97</v>
      </c>
      <c r="AD255" s="48"/>
      <c r="AE255" s="43"/>
      <c r="AF255" s="43"/>
      <c r="AG255" s="43"/>
      <c r="AH255" s="43"/>
      <c r="AI255" s="55"/>
      <c r="AJ255" s="52"/>
      <c r="AT255" s="52"/>
      <c r="AU255" s="59"/>
      <c r="AV255" s="58"/>
      <c r="AW255" s="58"/>
      <c r="AX255" s="54" t="s">
        <v>69</v>
      </c>
      <c r="AY255" s="43" t="s">
        <v>70</v>
      </c>
      <c r="AZ255" s="43" t="s">
        <v>70</v>
      </c>
      <c r="BA255" s="43" t="s">
        <v>71</v>
      </c>
      <c r="BB255" s="43" t="s">
        <v>69</v>
      </c>
      <c r="BC255" s="51">
        <v>31</v>
      </c>
      <c r="BD255" s="43" t="s">
        <v>70</v>
      </c>
      <c r="BE255" s="9">
        <f t="shared" si="10"/>
        <v>246</v>
      </c>
      <c r="BF255" s="9" t="str">
        <f t="shared" si="11"/>
        <v>..</v>
      </c>
    </row>
    <row r="256" spans="1:58" ht="18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1" t="s">
        <v>93</v>
      </c>
      <c r="N256" s="44"/>
      <c r="O256" s="44"/>
      <c r="P256" s="44"/>
      <c r="Q256" s="45"/>
      <c r="R256" s="46"/>
      <c r="S256" s="46"/>
      <c r="T256" s="46"/>
      <c r="U256" s="44" t="s">
        <v>96</v>
      </c>
      <c r="V256" s="46"/>
      <c r="W256" s="44"/>
      <c r="X256" s="44"/>
      <c r="Y256" s="44"/>
      <c r="Z256" s="44"/>
      <c r="AA256" s="44"/>
      <c r="AB256" s="42"/>
      <c r="AC256" s="47" t="s">
        <v>97</v>
      </c>
      <c r="AD256" s="48"/>
      <c r="AE256" s="43"/>
      <c r="AF256" s="43"/>
      <c r="AG256" s="43"/>
      <c r="AH256" s="43"/>
      <c r="AI256" s="55"/>
      <c r="AJ256" s="52"/>
      <c r="AT256" s="52"/>
      <c r="AU256" s="59"/>
      <c r="AV256" s="58"/>
      <c r="AW256" s="58"/>
      <c r="AX256" s="54" t="s">
        <v>69</v>
      </c>
      <c r="AY256" s="43" t="s">
        <v>70</v>
      </c>
      <c r="AZ256" s="43" t="s">
        <v>70</v>
      </c>
      <c r="BA256" s="43" t="s">
        <v>71</v>
      </c>
      <c r="BB256" s="43" t="s">
        <v>69</v>
      </c>
      <c r="BC256" s="51">
        <v>31</v>
      </c>
      <c r="BD256" s="43" t="s">
        <v>70</v>
      </c>
      <c r="BE256" s="9">
        <f t="shared" si="10"/>
        <v>247</v>
      </c>
      <c r="BF256" s="9" t="str">
        <f t="shared" si="11"/>
        <v>..</v>
      </c>
    </row>
    <row r="257" spans="1:58" ht="18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1" t="s">
        <v>93</v>
      </c>
      <c r="N257" s="44"/>
      <c r="O257" s="44"/>
      <c r="P257" s="44"/>
      <c r="Q257" s="45"/>
      <c r="R257" s="46"/>
      <c r="S257" s="46"/>
      <c r="T257" s="46"/>
      <c r="U257" s="44" t="s">
        <v>96</v>
      </c>
      <c r="V257" s="46"/>
      <c r="W257" s="44"/>
      <c r="X257" s="44"/>
      <c r="Y257" s="44"/>
      <c r="Z257" s="44"/>
      <c r="AA257" s="44"/>
      <c r="AB257" s="42"/>
      <c r="AC257" s="47" t="s">
        <v>97</v>
      </c>
      <c r="AD257" s="48"/>
      <c r="AE257" s="43"/>
      <c r="AF257" s="43"/>
      <c r="AG257" s="43"/>
      <c r="AH257" s="43"/>
      <c r="AI257" s="55"/>
      <c r="AJ257" s="52"/>
      <c r="AT257" s="52"/>
      <c r="AU257" s="59"/>
      <c r="AV257" s="58"/>
      <c r="AW257" s="58"/>
      <c r="AX257" s="54" t="s">
        <v>69</v>
      </c>
      <c r="AY257" s="43" t="s">
        <v>70</v>
      </c>
      <c r="AZ257" s="43" t="s">
        <v>70</v>
      </c>
      <c r="BA257" s="43" t="s">
        <v>71</v>
      </c>
      <c r="BB257" s="43" t="s">
        <v>69</v>
      </c>
      <c r="BC257" s="51">
        <v>31</v>
      </c>
      <c r="BD257" s="43" t="s">
        <v>70</v>
      </c>
      <c r="BE257" s="9">
        <f t="shared" si="10"/>
        <v>248</v>
      </c>
      <c r="BF257" s="9" t="str">
        <f t="shared" si="11"/>
        <v>..</v>
      </c>
    </row>
    <row r="258" spans="1:58" ht="18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1" t="s">
        <v>93</v>
      </c>
      <c r="N258" s="44"/>
      <c r="O258" s="44"/>
      <c r="P258" s="44"/>
      <c r="Q258" s="45"/>
      <c r="R258" s="46"/>
      <c r="S258" s="46"/>
      <c r="T258" s="46"/>
      <c r="U258" s="44" t="s">
        <v>96</v>
      </c>
      <c r="V258" s="46"/>
      <c r="W258" s="44"/>
      <c r="X258" s="44"/>
      <c r="Y258" s="44"/>
      <c r="Z258" s="44"/>
      <c r="AA258" s="44"/>
      <c r="AB258" s="42"/>
      <c r="AC258" s="47" t="s">
        <v>97</v>
      </c>
      <c r="AD258" s="48"/>
      <c r="AE258" s="43"/>
      <c r="AF258" s="43"/>
      <c r="AG258" s="43"/>
      <c r="AH258" s="43"/>
      <c r="AI258" s="55"/>
      <c r="AJ258" s="52"/>
      <c r="AT258" s="52"/>
      <c r="AU258" s="59"/>
      <c r="AV258" s="58"/>
      <c r="AW258" s="58"/>
      <c r="AX258" s="54" t="s">
        <v>69</v>
      </c>
      <c r="AY258" s="43" t="s">
        <v>70</v>
      </c>
      <c r="AZ258" s="43" t="s">
        <v>70</v>
      </c>
      <c r="BA258" s="43" t="s">
        <v>71</v>
      </c>
      <c r="BB258" s="43" t="s">
        <v>69</v>
      </c>
      <c r="BC258" s="51">
        <v>31</v>
      </c>
      <c r="BD258" s="43" t="s">
        <v>70</v>
      </c>
      <c r="BE258" s="9">
        <f t="shared" si="10"/>
        <v>249</v>
      </c>
      <c r="BF258" s="9" t="str">
        <f t="shared" si="11"/>
        <v>..</v>
      </c>
    </row>
    <row r="259" spans="1:58" ht="18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1" t="s">
        <v>93</v>
      </c>
      <c r="N259" s="44"/>
      <c r="O259" s="44"/>
      <c r="P259" s="44"/>
      <c r="Q259" s="45"/>
      <c r="R259" s="46"/>
      <c r="S259" s="46"/>
      <c r="T259" s="46"/>
      <c r="U259" s="44" t="s">
        <v>96</v>
      </c>
      <c r="V259" s="46"/>
      <c r="W259" s="44"/>
      <c r="X259" s="44"/>
      <c r="Y259" s="44"/>
      <c r="Z259" s="44"/>
      <c r="AA259" s="44"/>
      <c r="AB259" s="42"/>
      <c r="AC259" s="47" t="s">
        <v>97</v>
      </c>
      <c r="AD259" s="48"/>
      <c r="AE259" s="43"/>
      <c r="AF259" s="43"/>
      <c r="AG259" s="43"/>
      <c r="AH259" s="43"/>
      <c r="AI259" s="55"/>
      <c r="AJ259" s="52"/>
      <c r="AT259" s="52"/>
      <c r="AU259" s="59"/>
      <c r="AV259" s="58"/>
      <c r="AW259" s="58"/>
      <c r="AX259" s="54" t="s">
        <v>69</v>
      </c>
      <c r="AY259" s="43" t="s">
        <v>70</v>
      </c>
      <c r="AZ259" s="43" t="s">
        <v>70</v>
      </c>
      <c r="BA259" s="43" t="s">
        <v>71</v>
      </c>
      <c r="BB259" s="43" t="s">
        <v>69</v>
      </c>
      <c r="BC259" s="51">
        <v>31</v>
      </c>
      <c r="BD259" s="43" t="s">
        <v>70</v>
      </c>
      <c r="BE259" s="9">
        <f t="shared" si="10"/>
        <v>250</v>
      </c>
      <c r="BF259" s="9" t="str">
        <f t="shared" si="11"/>
        <v>..</v>
      </c>
    </row>
    <row r="260" spans="1:58" ht="18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1" t="s">
        <v>93</v>
      </c>
      <c r="N260" s="44"/>
      <c r="O260" s="44"/>
      <c r="P260" s="44"/>
      <c r="Q260" s="45"/>
      <c r="R260" s="46"/>
      <c r="S260" s="46"/>
      <c r="T260" s="46"/>
      <c r="U260" s="44" t="s">
        <v>96</v>
      </c>
      <c r="V260" s="46"/>
      <c r="W260" s="44"/>
      <c r="X260" s="44"/>
      <c r="Y260" s="44"/>
      <c r="Z260" s="44"/>
      <c r="AA260" s="44"/>
      <c r="AB260" s="42"/>
      <c r="AC260" s="47" t="s">
        <v>97</v>
      </c>
      <c r="AD260" s="48"/>
      <c r="AE260" s="43"/>
      <c r="AF260" s="43"/>
      <c r="AG260" s="43"/>
      <c r="AH260" s="43"/>
      <c r="AI260" s="55"/>
      <c r="AJ260" s="52"/>
      <c r="AT260" s="52"/>
      <c r="AU260" s="59"/>
      <c r="AV260" s="58"/>
      <c r="AW260" s="58"/>
      <c r="AX260" s="54" t="s">
        <v>69</v>
      </c>
      <c r="AY260" s="43" t="s">
        <v>70</v>
      </c>
      <c r="AZ260" s="43" t="s">
        <v>70</v>
      </c>
      <c r="BA260" s="43" t="s">
        <v>71</v>
      </c>
      <c r="BB260" s="43" t="s">
        <v>69</v>
      </c>
      <c r="BC260" s="51">
        <v>31</v>
      </c>
      <c r="BD260" s="43" t="s">
        <v>70</v>
      </c>
      <c r="BE260" s="9">
        <f t="shared" si="10"/>
        <v>251</v>
      </c>
      <c r="BF260" s="9" t="str">
        <f t="shared" si="11"/>
        <v>..</v>
      </c>
    </row>
    <row r="261" spans="1:58" ht="18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1" t="s">
        <v>93</v>
      </c>
      <c r="N261" s="44"/>
      <c r="O261" s="44"/>
      <c r="P261" s="44"/>
      <c r="Q261" s="45"/>
      <c r="R261" s="46"/>
      <c r="S261" s="46"/>
      <c r="T261" s="46"/>
      <c r="U261" s="44" t="s">
        <v>96</v>
      </c>
      <c r="V261" s="46"/>
      <c r="W261" s="44"/>
      <c r="X261" s="44"/>
      <c r="Y261" s="44"/>
      <c r="Z261" s="44"/>
      <c r="AA261" s="44"/>
      <c r="AB261" s="42"/>
      <c r="AC261" s="47" t="s">
        <v>97</v>
      </c>
      <c r="AD261" s="48"/>
      <c r="AE261" s="43"/>
      <c r="AF261" s="43"/>
      <c r="AG261" s="43"/>
      <c r="AH261" s="43"/>
      <c r="AI261" s="55"/>
      <c r="AJ261" s="52"/>
      <c r="AT261" s="52"/>
      <c r="AU261" s="59"/>
      <c r="AV261" s="58"/>
      <c r="AW261" s="58"/>
      <c r="AX261" s="54" t="s">
        <v>69</v>
      </c>
      <c r="AY261" s="43" t="s">
        <v>70</v>
      </c>
      <c r="AZ261" s="43" t="s">
        <v>70</v>
      </c>
      <c r="BA261" s="43" t="s">
        <v>71</v>
      </c>
      <c r="BB261" s="43" t="s">
        <v>69</v>
      </c>
      <c r="BC261" s="51">
        <v>31</v>
      </c>
      <c r="BD261" s="43" t="s">
        <v>70</v>
      </c>
      <c r="BE261" s="9">
        <f t="shared" si="10"/>
        <v>252</v>
      </c>
      <c r="BF261" s="9" t="str">
        <f t="shared" si="11"/>
        <v>..</v>
      </c>
    </row>
    <row r="262" spans="1:58" ht="18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1" t="s">
        <v>93</v>
      </c>
      <c r="N262" s="44"/>
      <c r="O262" s="44"/>
      <c r="P262" s="44"/>
      <c r="Q262" s="45"/>
      <c r="R262" s="46"/>
      <c r="S262" s="46"/>
      <c r="T262" s="46"/>
      <c r="U262" s="44" t="s">
        <v>96</v>
      </c>
      <c r="V262" s="46"/>
      <c r="W262" s="44"/>
      <c r="X262" s="44"/>
      <c r="Y262" s="44"/>
      <c r="Z262" s="44"/>
      <c r="AA262" s="44"/>
      <c r="AB262" s="42"/>
      <c r="AC262" s="47" t="s">
        <v>97</v>
      </c>
      <c r="AD262" s="48"/>
      <c r="AE262" s="43"/>
      <c r="AF262" s="43"/>
      <c r="AG262" s="43"/>
      <c r="AH262" s="43"/>
      <c r="AI262" s="55"/>
      <c r="AJ262" s="52"/>
      <c r="AT262" s="52"/>
      <c r="AU262" s="59"/>
      <c r="AV262" s="58"/>
      <c r="AW262" s="58"/>
      <c r="AX262" s="54" t="s">
        <v>69</v>
      </c>
      <c r="AY262" s="43" t="s">
        <v>70</v>
      </c>
      <c r="AZ262" s="43" t="s">
        <v>70</v>
      </c>
      <c r="BA262" s="43" t="s">
        <v>71</v>
      </c>
      <c r="BB262" s="43" t="s">
        <v>69</v>
      </c>
      <c r="BC262" s="51">
        <v>31</v>
      </c>
      <c r="BD262" s="43" t="s">
        <v>70</v>
      </c>
      <c r="BE262" s="9">
        <f t="shared" si="10"/>
        <v>253</v>
      </c>
      <c r="BF262" s="9" t="str">
        <f t="shared" si="11"/>
        <v>..</v>
      </c>
    </row>
    <row r="263" spans="1:58" ht="18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1" t="s">
        <v>93</v>
      </c>
      <c r="N263" s="44"/>
      <c r="O263" s="44"/>
      <c r="P263" s="44"/>
      <c r="Q263" s="45"/>
      <c r="R263" s="46"/>
      <c r="S263" s="46"/>
      <c r="T263" s="46"/>
      <c r="U263" s="44" t="s">
        <v>96</v>
      </c>
      <c r="V263" s="46"/>
      <c r="W263" s="44"/>
      <c r="X263" s="44"/>
      <c r="Y263" s="44"/>
      <c r="Z263" s="44"/>
      <c r="AA263" s="44"/>
      <c r="AB263" s="42"/>
      <c r="AC263" s="47" t="s">
        <v>97</v>
      </c>
      <c r="AD263" s="48"/>
      <c r="AE263" s="43"/>
      <c r="AF263" s="43"/>
      <c r="AG263" s="43"/>
      <c r="AH263" s="43"/>
      <c r="AI263" s="55"/>
      <c r="AJ263" s="52"/>
      <c r="AT263" s="52"/>
      <c r="AU263" s="59"/>
      <c r="AV263" s="58"/>
      <c r="AW263" s="58"/>
      <c r="AX263" s="54" t="s">
        <v>69</v>
      </c>
      <c r="AY263" s="43" t="s">
        <v>70</v>
      </c>
      <c r="AZ263" s="43" t="s">
        <v>70</v>
      </c>
      <c r="BA263" s="43" t="s">
        <v>71</v>
      </c>
      <c r="BB263" s="43" t="s">
        <v>69</v>
      </c>
      <c r="BC263" s="51">
        <v>31</v>
      </c>
      <c r="BD263" s="43" t="s">
        <v>70</v>
      </c>
      <c r="BE263" s="9">
        <f t="shared" si="10"/>
        <v>254</v>
      </c>
      <c r="BF263" s="9" t="str">
        <f t="shared" si="11"/>
        <v>..</v>
      </c>
    </row>
    <row r="264" spans="1:58" ht="18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1" t="s">
        <v>93</v>
      </c>
      <c r="N264" s="44"/>
      <c r="O264" s="44"/>
      <c r="P264" s="44"/>
      <c r="Q264" s="45"/>
      <c r="R264" s="46"/>
      <c r="S264" s="46"/>
      <c r="T264" s="46"/>
      <c r="U264" s="44" t="s">
        <v>96</v>
      </c>
      <c r="V264" s="46"/>
      <c r="W264" s="44"/>
      <c r="X264" s="44"/>
      <c r="Y264" s="44"/>
      <c r="Z264" s="44"/>
      <c r="AA264" s="44"/>
      <c r="AB264" s="42"/>
      <c r="AC264" s="47" t="s">
        <v>97</v>
      </c>
      <c r="AD264" s="48"/>
      <c r="AE264" s="43"/>
      <c r="AF264" s="43"/>
      <c r="AG264" s="43"/>
      <c r="AH264" s="43"/>
      <c r="AI264" s="55"/>
      <c r="AJ264" s="52"/>
      <c r="AT264" s="52"/>
      <c r="AU264" s="59"/>
      <c r="AV264" s="58"/>
      <c r="AW264" s="58"/>
      <c r="AX264" s="54" t="s">
        <v>69</v>
      </c>
      <c r="AY264" s="43" t="s">
        <v>70</v>
      </c>
      <c r="AZ264" s="43" t="s">
        <v>70</v>
      </c>
      <c r="BA264" s="43" t="s">
        <v>71</v>
      </c>
      <c r="BB264" s="43" t="s">
        <v>69</v>
      </c>
      <c r="BC264" s="51">
        <v>31</v>
      </c>
      <c r="BD264" s="43" t="s">
        <v>70</v>
      </c>
      <c r="BE264" s="9">
        <f t="shared" si="10"/>
        <v>255</v>
      </c>
      <c r="BF264" s="9" t="str">
        <f t="shared" si="11"/>
        <v>..</v>
      </c>
    </row>
    <row r="265" spans="1:58" ht="18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1" t="s">
        <v>93</v>
      </c>
      <c r="N265" s="44"/>
      <c r="O265" s="44"/>
      <c r="P265" s="44"/>
      <c r="Q265" s="45"/>
      <c r="R265" s="46"/>
      <c r="S265" s="46"/>
      <c r="T265" s="46"/>
      <c r="U265" s="44" t="s">
        <v>96</v>
      </c>
      <c r="V265" s="46"/>
      <c r="W265" s="44"/>
      <c r="X265" s="44"/>
      <c r="Y265" s="44"/>
      <c r="Z265" s="44"/>
      <c r="AA265" s="44"/>
      <c r="AB265" s="42"/>
      <c r="AC265" s="47" t="s">
        <v>97</v>
      </c>
      <c r="AD265" s="48"/>
      <c r="AE265" s="43"/>
      <c r="AF265" s="43"/>
      <c r="AG265" s="43"/>
      <c r="AH265" s="43"/>
      <c r="AI265" s="55"/>
      <c r="AJ265" s="52"/>
      <c r="AT265" s="52"/>
      <c r="AU265" s="59"/>
      <c r="AV265" s="58"/>
      <c r="AW265" s="58"/>
      <c r="AX265" s="54" t="s">
        <v>69</v>
      </c>
      <c r="AY265" s="43" t="s">
        <v>70</v>
      </c>
      <c r="AZ265" s="43" t="s">
        <v>70</v>
      </c>
      <c r="BA265" s="43" t="s">
        <v>71</v>
      </c>
      <c r="BB265" s="43" t="s">
        <v>69</v>
      </c>
      <c r="BC265" s="51">
        <v>31</v>
      </c>
      <c r="BD265" s="43" t="s">
        <v>70</v>
      </c>
      <c r="BE265" s="9">
        <f t="shared" si="10"/>
        <v>256</v>
      </c>
      <c r="BF265" s="9" t="str">
        <f t="shared" si="11"/>
        <v>..</v>
      </c>
    </row>
    <row r="266" spans="1:58" ht="18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1" t="s">
        <v>93</v>
      </c>
      <c r="N266" s="44"/>
      <c r="O266" s="44"/>
      <c r="P266" s="44"/>
      <c r="Q266" s="45"/>
      <c r="R266" s="46"/>
      <c r="S266" s="46"/>
      <c r="T266" s="46"/>
      <c r="U266" s="44" t="s">
        <v>96</v>
      </c>
      <c r="V266" s="46"/>
      <c r="W266" s="44"/>
      <c r="X266" s="44"/>
      <c r="Y266" s="44"/>
      <c r="Z266" s="44"/>
      <c r="AA266" s="44"/>
      <c r="AB266" s="42"/>
      <c r="AC266" s="47" t="s">
        <v>97</v>
      </c>
      <c r="AD266" s="48"/>
      <c r="AE266" s="43"/>
      <c r="AF266" s="43"/>
      <c r="AG266" s="43"/>
      <c r="AH266" s="43"/>
      <c r="AI266" s="55"/>
      <c r="AJ266" s="52"/>
      <c r="AT266" s="52"/>
      <c r="AU266" s="59"/>
      <c r="AV266" s="58"/>
      <c r="AW266" s="58"/>
      <c r="AX266" s="54" t="s">
        <v>69</v>
      </c>
      <c r="AY266" s="43" t="s">
        <v>70</v>
      </c>
      <c r="AZ266" s="43" t="s">
        <v>70</v>
      </c>
      <c r="BA266" s="43" t="s">
        <v>71</v>
      </c>
      <c r="BB266" s="43" t="s">
        <v>69</v>
      </c>
      <c r="BC266" s="51">
        <v>31</v>
      </c>
      <c r="BD266" s="43" t="s">
        <v>70</v>
      </c>
      <c r="BE266" s="9">
        <f t="shared" si="10"/>
        <v>257</v>
      </c>
      <c r="BF266" s="9" t="str">
        <f t="shared" si="11"/>
        <v>..</v>
      </c>
    </row>
    <row r="267" spans="1:58" ht="18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1" t="s">
        <v>93</v>
      </c>
      <c r="N267" s="44"/>
      <c r="O267" s="44"/>
      <c r="P267" s="44"/>
      <c r="Q267" s="45"/>
      <c r="R267" s="46"/>
      <c r="S267" s="46"/>
      <c r="T267" s="46"/>
      <c r="U267" s="44" t="s">
        <v>96</v>
      </c>
      <c r="V267" s="46"/>
      <c r="W267" s="44"/>
      <c r="X267" s="44"/>
      <c r="Y267" s="44"/>
      <c r="Z267" s="44"/>
      <c r="AA267" s="44"/>
      <c r="AB267" s="42"/>
      <c r="AC267" s="47" t="s">
        <v>97</v>
      </c>
      <c r="AD267" s="48"/>
      <c r="AE267" s="43"/>
      <c r="AF267" s="43"/>
      <c r="AG267" s="43"/>
      <c r="AH267" s="43"/>
      <c r="AI267" s="55"/>
      <c r="AJ267" s="52"/>
      <c r="AT267" s="52"/>
      <c r="AU267" s="59"/>
      <c r="AV267" s="58"/>
      <c r="AW267" s="58"/>
      <c r="AX267" s="54" t="s">
        <v>69</v>
      </c>
      <c r="AY267" s="43" t="s">
        <v>70</v>
      </c>
      <c r="AZ267" s="43" t="s">
        <v>70</v>
      </c>
      <c r="BA267" s="43" t="s">
        <v>71</v>
      </c>
      <c r="BB267" s="43" t="s">
        <v>69</v>
      </c>
      <c r="BC267" s="51">
        <v>31</v>
      </c>
      <c r="BD267" s="43" t="s">
        <v>70</v>
      </c>
      <c r="BE267" s="9">
        <f t="shared" si="10"/>
        <v>258</v>
      </c>
      <c r="BF267" s="9" t="str">
        <f t="shared" si="11"/>
        <v>..</v>
      </c>
    </row>
    <row r="268" spans="1:58" ht="18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1" t="s">
        <v>93</v>
      </c>
      <c r="N268" s="44"/>
      <c r="O268" s="44"/>
      <c r="P268" s="44"/>
      <c r="Q268" s="45"/>
      <c r="R268" s="46"/>
      <c r="S268" s="46"/>
      <c r="T268" s="46"/>
      <c r="U268" s="44" t="s">
        <v>96</v>
      </c>
      <c r="V268" s="46"/>
      <c r="W268" s="44"/>
      <c r="X268" s="44"/>
      <c r="Y268" s="44"/>
      <c r="Z268" s="44"/>
      <c r="AA268" s="44"/>
      <c r="AB268" s="42"/>
      <c r="AC268" s="47" t="s">
        <v>97</v>
      </c>
      <c r="AD268" s="48"/>
      <c r="AE268" s="43"/>
      <c r="AF268" s="43"/>
      <c r="AG268" s="43"/>
      <c r="AH268" s="43"/>
      <c r="AI268" s="55"/>
      <c r="AJ268" s="52"/>
      <c r="AT268" s="52"/>
      <c r="AU268" s="59"/>
      <c r="AV268" s="58"/>
      <c r="AW268" s="58"/>
      <c r="AX268" s="54" t="s">
        <v>69</v>
      </c>
      <c r="AY268" s="43" t="s">
        <v>70</v>
      </c>
      <c r="AZ268" s="43" t="s">
        <v>70</v>
      </c>
      <c r="BA268" s="43" t="s">
        <v>71</v>
      </c>
      <c r="BB268" s="43" t="s">
        <v>69</v>
      </c>
      <c r="BC268" s="51">
        <v>31</v>
      </c>
      <c r="BD268" s="43" t="s">
        <v>70</v>
      </c>
      <c r="BE268" s="9">
        <f t="shared" si="10"/>
        <v>259</v>
      </c>
      <c r="BF268" s="9" t="str">
        <f t="shared" si="11"/>
        <v>..</v>
      </c>
    </row>
    <row r="269" spans="1:58" ht="18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1" t="s">
        <v>93</v>
      </c>
      <c r="N269" s="44"/>
      <c r="O269" s="44"/>
      <c r="P269" s="44"/>
      <c r="Q269" s="45"/>
      <c r="R269" s="46"/>
      <c r="S269" s="46"/>
      <c r="T269" s="46"/>
      <c r="U269" s="44" t="s">
        <v>96</v>
      </c>
      <c r="V269" s="46"/>
      <c r="W269" s="44"/>
      <c r="X269" s="44"/>
      <c r="Y269" s="44"/>
      <c r="Z269" s="44"/>
      <c r="AA269" s="44"/>
      <c r="AB269" s="42"/>
      <c r="AC269" s="47" t="s">
        <v>97</v>
      </c>
      <c r="AD269" s="48"/>
      <c r="AE269" s="43"/>
      <c r="AF269" s="43"/>
      <c r="AG269" s="43"/>
      <c r="AH269" s="43"/>
      <c r="AI269" s="55"/>
      <c r="AJ269" s="52"/>
      <c r="AT269" s="52"/>
      <c r="AU269" s="59"/>
      <c r="AV269" s="58"/>
      <c r="AW269" s="58"/>
      <c r="AX269" s="54" t="s">
        <v>69</v>
      </c>
      <c r="AY269" s="43" t="s">
        <v>70</v>
      </c>
      <c r="AZ269" s="43" t="s">
        <v>70</v>
      </c>
      <c r="BA269" s="43" t="s">
        <v>71</v>
      </c>
      <c r="BB269" s="43" t="s">
        <v>69</v>
      </c>
      <c r="BC269" s="51">
        <v>31</v>
      </c>
      <c r="BD269" s="43" t="s">
        <v>70</v>
      </c>
      <c r="BE269" s="9">
        <f t="shared" si="10"/>
        <v>260</v>
      </c>
      <c r="BF269" s="9" t="str">
        <f t="shared" si="11"/>
        <v>..</v>
      </c>
    </row>
    <row r="270" spans="1:58" ht="18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1" t="s">
        <v>93</v>
      </c>
      <c r="N270" s="44"/>
      <c r="O270" s="44"/>
      <c r="P270" s="44"/>
      <c r="Q270" s="45"/>
      <c r="R270" s="46"/>
      <c r="S270" s="46"/>
      <c r="T270" s="46"/>
      <c r="U270" s="44" t="s">
        <v>96</v>
      </c>
      <c r="V270" s="46"/>
      <c r="W270" s="44"/>
      <c r="X270" s="44"/>
      <c r="Y270" s="44"/>
      <c r="Z270" s="44"/>
      <c r="AA270" s="44"/>
      <c r="AB270" s="42"/>
      <c r="AC270" s="47" t="s">
        <v>97</v>
      </c>
      <c r="AD270" s="48"/>
      <c r="AE270" s="43"/>
      <c r="AF270" s="43"/>
      <c r="AG270" s="43"/>
      <c r="AH270" s="43"/>
      <c r="AI270" s="55"/>
      <c r="AJ270" s="52"/>
      <c r="AT270" s="52"/>
      <c r="AU270" s="59"/>
      <c r="AV270" s="58"/>
      <c r="AW270" s="58"/>
      <c r="AX270" s="54" t="s">
        <v>69</v>
      </c>
      <c r="AY270" s="43" t="s">
        <v>70</v>
      </c>
      <c r="AZ270" s="43" t="s">
        <v>70</v>
      </c>
      <c r="BA270" s="43" t="s">
        <v>71</v>
      </c>
      <c r="BB270" s="43" t="s">
        <v>69</v>
      </c>
      <c r="BC270" s="51">
        <v>31</v>
      </c>
      <c r="BD270" s="43" t="s">
        <v>70</v>
      </c>
      <c r="BE270" s="9">
        <f t="shared" si="10"/>
        <v>261</v>
      </c>
      <c r="BF270" s="9" t="str">
        <f t="shared" si="11"/>
        <v>..</v>
      </c>
    </row>
    <row r="271" spans="1:58" ht="18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1" t="s">
        <v>93</v>
      </c>
      <c r="N271" s="44"/>
      <c r="O271" s="44"/>
      <c r="P271" s="44"/>
      <c r="Q271" s="45"/>
      <c r="R271" s="46"/>
      <c r="S271" s="46"/>
      <c r="T271" s="46"/>
      <c r="U271" s="44" t="s">
        <v>96</v>
      </c>
      <c r="V271" s="46"/>
      <c r="W271" s="44"/>
      <c r="X271" s="44"/>
      <c r="Y271" s="44"/>
      <c r="Z271" s="44"/>
      <c r="AA271" s="44"/>
      <c r="AB271" s="42"/>
      <c r="AC271" s="47" t="s">
        <v>97</v>
      </c>
      <c r="AD271" s="48"/>
      <c r="AE271" s="43"/>
      <c r="AF271" s="43"/>
      <c r="AG271" s="43"/>
      <c r="AH271" s="43"/>
      <c r="AI271" s="55"/>
      <c r="AJ271" s="52"/>
      <c r="AT271" s="52"/>
      <c r="AU271" s="59"/>
      <c r="AV271" s="58"/>
      <c r="AW271" s="58"/>
      <c r="AX271" s="54" t="s">
        <v>69</v>
      </c>
      <c r="AY271" s="43" t="s">
        <v>70</v>
      </c>
      <c r="AZ271" s="43" t="s">
        <v>70</v>
      </c>
      <c r="BA271" s="43" t="s">
        <v>71</v>
      </c>
      <c r="BB271" s="43" t="s">
        <v>69</v>
      </c>
      <c r="BC271" s="51">
        <v>31</v>
      </c>
      <c r="BD271" s="43" t="s">
        <v>70</v>
      </c>
      <c r="BE271" s="9">
        <f t="shared" si="10"/>
        <v>262</v>
      </c>
      <c r="BF271" s="9" t="str">
        <f t="shared" si="11"/>
        <v>..</v>
      </c>
    </row>
    <row r="272" spans="1:58" ht="18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1" t="s">
        <v>93</v>
      </c>
      <c r="N272" s="44"/>
      <c r="O272" s="44"/>
      <c r="P272" s="44"/>
      <c r="Q272" s="45"/>
      <c r="R272" s="46"/>
      <c r="S272" s="46"/>
      <c r="T272" s="46"/>
      <c r="U272" s="44" t="s">
        <v>96</v>
      </c>
      <c r="V272" s="46"/>
      <c r="W272" s="44"/>
      <c r="X272" s="44"/>
      <c r="Y272" s="44"/>
      <c r="Z272" s="44"/>
      <c r="AA272" s="44"/>
      <c r="AB272" s="42"/>
      <c r="AC272" s="47" t="s">
        <v>97</v>
      </c>
      <c r="AD272" s="48"/>
      <c r="AE272" s="43"/>
      <c r="AF272" s="43"/>
      <c r="AG272" s="43"/>
      <c r="AH272" s="43"/>
      <c r="AI272" s="55"/>
      <c r="AJ272" s="52"/>
      <c r="AT272" s="52"/>
      <c r="AU272" s="59"/>
      <c r="AV272" s="58"/>
      <c r="AW272" s="58"/>
      <c r="AX272" s="54" t="s">
        <v>69</v>
      </c>
      <c r="AY272" s="43" t="s">
        <v>70</v>
      </c>
      <c r="AZ272" s="43" t="s">
        <v>70</v>
      </c>
      <c r="BA272" s="43" t="s">
        <v>71</v>
      </c>
      <c r="BB272" s="43" t="s">
        <v>69</v>
      </c>
      <c r="BC272" s="51">
        <v>31</v>
      </c>
      <c r="BD272" s="43" t="s">
        <v>70</v>
      </c>
      <c r="BE272" s="9">
        <f t="shared" ref="BE272:BE335" si="12">ROW()-ROW($BE$9)</f>
        <v>263</v>
      </c>
      <c r="BF272" s="9" t="str">
        <f t="shared" si="11"/>
        <v>..</v>
      </c>
    </row>
    <row r="273" spans="1:58" ht="18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1" t="s">
        <v>93</v>
      </c>
      <c r="N273" s="44"/>
      <c r="O273" s="44"/>
      <c r="P273" s="44"/>
      <c r="Q273" s="45"/>
      <c r="R273" s="46"/>
      <c r="S273" s="46"/>
      <c r="T273" s="46"/>
      <c r="U273" s="44" t="s">
        <v>96</v>
      </c>
      <c r="V273" s="46"/>
      <c r="W273" s="44"/>
      <c r="X273" s="44"/>
      <c r="Y273" s="44"/>
      <c r="Z273" s="44"/>
      <c r="AA273" s="44"/>
      <c r="AB273" s="42"/>
      <c r="AC273" s="47" t="s">
        <v>97</v>
      </c>
      <c r="AD273" s="48"/>
      <c r="AE273" s="43"/>
      <c r="AF273" s="43"/>
      <c r="AG273" s="43"/>
      <c r="AH273" s="43"/>
      <c r="AI273" s="55"/>
      <c r="AJ273" s="52"/>
      <c r="AT273" s="52"/>
      <c r="AU273" s="59"/>
      <c r="AV273" s="58"/>
      <c r="AW273" s="58"/>
      <c r="AX273" s="54" t="s">
        <v>69</v>
      </c>
      <c r="AY273" s="43" t="s">
        <v>70</v>
      </c>
      <c r="AZ273" s="43" t="s">
        <v>70</v>
      </c>
      <c r="BA273" s="43" t="s">
        <v>71</v>
      </c>
      <c r="BB273" s="43" t="s">
        <v>69</v>
      </c>
      <c r="BC273" s="51">
        <v>31</v>
      </c>
      <c r="BD273" s="43" t="s">
        <v>70</v>
      </c>
      <c r="BE273" s="9">
        <f t="shared" si="12"/>
        <v>264</v>
      </c>
      <c r="BF273" s="9" t="str">
        <f t="shared" si="11"/>
        <v>..</v>
      </c>
    </row>
    <row r="274" spans="1:58" ht="18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1" t="s">
        <v>93</v>
      </c>
      <c r="N274" s="44"/>
      <c r="O274" s="44"/>
      <c r="P274" s="44"/>
      <c r="Q274" s="45"/>
      <c r="R274" s="46"/>
      <c r="S274" s="46"/>
      <c r="T274" s="46"/>
      <c r="U274" s="44" t="s">
        <v>96</v>
      </c>
      <c r="V274" s="46"/>
      <c r="W274" s="44"/>
      <c r="X274" s="44"/>
      <c r="Y274" s="44"/>
      <c r="Z274" s="44"/>
      <c r="AA274" s="44"/>
      <c r="AB274" s="42"/>
      <c r="AC274" s="47" t="s">
        <v>97</v>
      </c>
      <c r="AD274" s="48"/>
      <c r="AE274" s="43"/>
      <c r="AF274" s="43"/>
      <c r="AG274" s="43"/>
      <c r="AH274" s="43"/>
      <c r="AI274" s="55"/>
      <c r="AJ274" s="52"/>
      <c r="AT274" s="52"/>
      <c r="AU274" s="59"/>
      <c r="AV274" s="58"/>
      <c r="AW274" s="58"/>
      <c r="AX274" s="54" t="s">
        <v>69</v>
      </c>
      <c r="AY274" s="43" t="s">
        <v>70</v>
      </c>
      <c r="AZ274" s="43" t="s">
        <v>70</v>
      </c>
      <c r="BA274" s="43" t="s">
        <v>71</v>
      </c>
      <c r="BB274" s="43" t="s">
        <v>69</v>
      </c>
      <c r="BC274" s="51">
        <v>31</v>
      </c>
      <c r="BD274" s="43" t="s">
        <v>70</v>
      </c>
      <c r="BE274" s="9">
        <f t="shared" si="12"/>
        <v>265</v>
      </c>
      <c r="BF274" s="9" t="str">
        <f t="shared" si="11"/>
        <v>..</v>
      </c>
    </row>
    <row r="275" spans="1:58" ht="18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1" t="s">
        <v>93</v>
      </c>
      <c r="N275" s="44"/>
      <c r="O275" s="44"/>
      <c r="P275" s="44"/>
      <c r="Q275" s="45"/>
      <c r="R275" s="46"/>
      <c r="S275" s="46"/>
      <c r="T275" s="46"/>
      <c r="U275" s="44" t="s">
        <v>96</v>
      </c>
      <c r="V275" s="46"/>
      <c r="W275" s="44"/>
      <c r="X275" s="44"/>
      <c r="Y275" s="44"/>
      <c r="Z275" s="44"/>
      <c r="AA275" s="44"/>
      <c r="AB275" s="42"/>
      <c r="AC275" s="47" t="s">
        <v>97</v>
      </c>
      <c r="AD275" s="48"/>
      <c r="AE275" s="43"/>
      <c r="AF275" s="43"/>
      <c r="AG275" s="43"/>
      <c r="AH275" s="43"/>
      <c r="AI275" s="55"/>
      <c r="AJ275" s="52"/>
      <c r="AT275" s="52"/>
      <c r="AU275" s="59"/>
      <c r="AV275" s="58"/>
      <c r="AW275" s="58"/>
      <c r="AX275" s="54" t="s">
        <v>69</v>
      </c>
      <c r="AY275" s="43" t="s">
        <v>70</v>
      </c>
      <c r="AZ275" s="43" t="s">
        <v>70</v>
      </c>
      <c r="BA275" s="43" t="s">
        <v>71</v>
      </c>
      <c r="BB275" s="43" t="s">
        <v>69</v>
      </c>
      <c r="BC275" s="51">
        <v>31</v>
      </c>
      <c r="BD275" s="43" t="s">
        <v>70</v>
      </c>
      <c r="BE275" s="9">
        <f t="shared" si="12"/>
        <v>266</v>
      </c>
      <c r="BF275" s="9" t="str">
        <f t="shared" si="11"/>
        <v>..</v>
      </c>
    </row>
    <row r="276" spans="1:58" ht="18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1" t="s">
        <v>93</v>
      </c>
      <c r="N276" s="44"/>
      <c r="O276" s="44"/>
      <c r="P276" s="44"/>
      <c r="Q276" s="45"/>
      <c r="R276" s="46"/>
      <c r="S276" s="46"/>
      <c r="T276" s="46"/>
      <c r="U276" s="44" t="s">
        <v>96</v>
      </c>
      <c r="V276" s="46"/>
      <c r="W276" s="44"/>
      <c r="X276" s="44"/>
      <c r="Y276" s="44"/>
      <c r="Z276" s="44"/>
      <c r="AA276" s="44"/>
      <c r="AB276" s="42"/>
      <c r="AC276" s="47" t="s">
        <v>97</v>
      </c>
      <c r="AD276" s="48"/>
      <c r="AE276" s="43"/>
      <c r="AF276" s="43"/>
      <c r="AG276" s="43"/>
      <c r="AH276" s="43"/>
      <c r="AI276" s="55"/>
      <c r="AJ276" s="52"/>
      <c r="AT276" s="52"/>
      <c r="AU276" s="59"/>
      <c r="AV276" s="58"/>
      <c r="AW276" s="58"/>
      <c r="AX276" s="54" t="s">
        <v>69</v>
      </c>
      <c r="AY276" s="43" t="s">
        <v>70</v>
      </c>
      <c r="AZ276" s="43" t="s">
        <v>70</v>
      </c>
      <c r="BA276" s="43" t="s">
        <v>71</v>
      </c>
      <c r="BB276" s="43" t="s">
        <v>69</v>
      </c>
      <c r="BC276" s="51">
        <v>31</v>
      </c>
      <c r="BD276" s="43" t="s">
        <v>70</v>
      </c>
      <c r="BE276" s="9">
        <f t="shared" si="12"/>
        <v>267</v>
      </c>
      <c r="BF276" s="9" t="str">
        <f t="shared" si="11"/>
        <v>..</v>
      </c>
    </row>
    <row r="277" spans="1:58" ht="18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1" t="s">
        <v>93</v>
      </c>
      <c r="N277" s="44"/>
      <c r="O277" s="44"/>
      <c r="P277" s="44"/>
      <c r="Q277" s="45"/>
      <c r="R277" s="46"/>
      <c r="S277" s="46"/>
      <c r="T277" s="46"/>
      <c r="U277" s="44" t="s">
        <v>96</v>
      </c>
      <c r="V277" s="46"/>
      <c r="W277" s="44"/>
      <c r="X277" s="44"/>
      <c r="Y277" s="44"/>
      <c r="Z277" s="44"/>
      <c r="AA277" s="44"/>
      <c r="AB277" s="42"/>
      <c r="AC277" s="47" t="s">
        <v>97</v>
      </c>
      <c r="AD277" s="48"/>
      <c r="AE277" s="43"/>
      <c r="AF277" s="43"/>
      <c r="AG277" s="43"/>
      <c r="AH277" s="43"/>
      <c r="AI277" s="55"/>
      <c r="AJ277" s="52"/>
      <c r="AT277" s="52"/>
      <c r="AU277" s="59"/>
      <c r="AV277" s="58"/>
      <c r="AW277" s="58"/>
      <c r="AX277" s="54" t="s">
        <v>69</v>
      </c>
      <c r="AY277" s="43" t="s">
        <v>70</v>
      </c>
      <c r="AZ277" s="43" t="s">
        <v>70</v>
      </c>
      <c r="BA277" s="43" t="s">
        <v>71</v>
      </c>
      <c r="BB277" s="43" t="s">
        <v>69</v>
      </c>
      <c r="BC277" s="51">
        <v>31</v>
      </c>
      <c r="BD277" s="43" t="s">
        <v>70</v>
      </c>
      <c r="BE277" s="9">
        <f t="shared" si="12"/>
        <v>268</v>
      </c>
      <c r="BF277" s="9" t="str">
        <f t="shared" si="11"/>
        <v>..</v>
      </c>
    </row>
    <row r="278" spans="1:58" ht="18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1" t="s">
        <v>93</v>
      </c>
      <c r="N278" s="44"/>
      <c r="O278" s="44"/>
      <c r="P278" s="44"/>
      <c r="Q278" s="45"/>
      <c r="R278" s="46"/>
      <c r="S278" s="46"/>
      <c r="T278" s="46"/>
      <c r="U278" s="44" t="s">
        <v>96</v>
      </c>
      <c r="V278" s="46"/>
      <c r="W278" s="44"/>
      <c r="X278" s="44"/>
      <c r="Y278" s="44"/>
      <c r="Z278" s="44"/>
      <c r="AA278" s="44"/>
      <c r="AB278" s="42"/>
      <c r="AC278" s="47" t="s">
        <v>97</v>
      </c>
      <c r="AD278" s="48"/>
      <c r="AE278" s="43"/>
      <c r="AF278" s="43"/>
      <c r="AG278" s="43"/>
      <c r="AH278" s="43"/>
      <c r="AI278" s="55"/>
      <c r="AJ278" s="52"/>
      <c r="AT278" s="52"/>
      <c r="AU278" s="59"/>
      <c r="AV278" s="58"/>
      <c r="AW278" s="58"/>
      <c r="AX278" s="54" t="s">
        <v>69</v>
      </c>
      <c r="AY278" s="43" t="s">
        <v>70</v>
      </c>
      <c r="AZ278" s="43" t="s">
        <v>70</v>
      </c>
      <c r="BA278" s="43" t="s">
        <v>71</v>
      </c>
      <c r="BB278" s="43" t="s">
        <v>69</v>
      </c>
      <c r="BC278" s="51">
        <v>31</v>
      </c>
      <c r="BD278" s="43" t="s">
        <v>70</v>
      </c>
      <c r="BE278" s="9">
        <f t="shared" si="12"/>
        <v>269</v>
      </c>
      <c r="BF278" s="9" t="str">
        <f t="shared" si="11"/>
        <v>..</v>
      </c>
    </row>
    <row r="279" spans="1:58" ht="18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1" t="s">
        <v>93</v>
      </c>
      <c r="N279" s="44"/>
      <c r="O279" s="44"/>
      <c r="P279" s="44"/>
      <c r="Q279" s="45"/>
      <c r="R279" s="46"/>
      <c r="S279" s="46"/>
      <c r="T279" s="46"/>
      <c r="U279" s="44" t="s">
        <v>96</v>
      </c>
      <c r="V279" s="46"/>
      <c r="W279" s="44"/>
      <c r="X279" s="44"/>
      <c r="Y279" s="44"/>
      <c r="Z279" s="44"/>
      <c r="AA279" s="44"/>
      <c r="AB279" s="42"/>
      <c r="AC279" s="47" t="s">
        <v>97</v>
      </c>
      <c r="AD279" s="48"/>
      <c r="AE279" s="43"/>
      <c r="AF279" s="43"/>
      <c r="AG279" s="43"/>
      <c r="AH279" s="43"/>
      <c r="AI279" s="55"/>
      <c r="AJ279" s="52"/>
      <c r="AT279" s="52"/>
      <c r="AU279" s="59"/>
      <c r="AV279" s="58"/>
      <c r="AW279" s="58"/>
      <c r="AX279" s="54" t="s">
        <v>69</v>
      </c>
      <c r="AY279" s="43" t="s">
        <v>70</v>
      </c>
      <c r="AZ279" s="43" t="s">
        <v>70</v>
      </c>
      <c r="BA279" s="43" t="s">
        <v>71</v>
      </c>
      <c r="BB279" s="43" t="s">
        <v>69</v>
      </c>
      <c r="BC279" s="51">
        <v>31</v>
      </c>
      <c r="BD279" s="43" t="s">
        <v>70</v>
      </c>
      <c r="BE279" s="9">
        <f t="shared" si="12"/>
        <v>270</v>
      </c>
      <c r="BF279" s="9" t="str">
        <f t="shared" si="11"/>
        <v>..</v>
      </c>
    </row>
    <row r="280" spans="1:58" ht="18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1" t="s">
        <v>93</v>
      </c>
      <c r="N280" s="44"/>
      <c r="O280" s="44"/>
      <c r="P280" s="44"/>
      <c r="Q280" s="45"/>
      <c r="R280" s="46"/>
      <c r="S280" s="46"/>
      <c r="T280" s="46"/>
      <c r="U280" s="44" t="s">
        <v>96</v>
      </c>
      <c r="V280" s="46"/>
      <c r="W280" s="44"/>
      <c r="X280" s="44"/>
      <c r="Y280" s="44"/>
      <c r="Z280" s="44"/>
      <c r="AA280" s="44"/>
      <c r="AB280" s="42"/>
      <c r="AC280" s="47" t="s">
        <v>97</v>
      </c>
      <c r="AD280" s="48"/>
      <c r="AE280" s="43"/>
      <c r="AF280" s="43"/>
      <c r="AG280" s="43"/>
      <c r="AH280" s="43"/>
      <c r="AI280" s="55"/>
      <c r="AJ280" s="52"/>
      <c r="AT280" s="52"/>
      <c r="AU280" s="59"/>
      <c r="AV280" s="58"/>
      <c r="AW280" s="58"/>
      <c r="AX280" s="54" t="s">
        <v>69</v>
      </c>
      <c r="AY280" s="43" t="s">
        <v>70</v>
      </c>
      <c r="AZ280" s="43" t="s">
        <v>70</v>
      </c>
      <c r="BA280" s="43" t="s">
        <v>71</v>
      </c>
      <c r="BB280" s="43" t="s">
        <v>69</v>
      </c>
      <c r="BC280" s="51">
        <v>31</v>
      </c>
      <c r="BD280" s="43" t="s">
        <v>70</v>
      </c>
      <c r="BE280" s="9">
        <f t="shared" si="12"/>
        <v>271</v>
      </c>
      <c r="BF280" s="9" t="str">
        <f t="shared" si="11"/>
        <v>..</v>
      </c>
    </row>
    <row r="281" spans="1:58" ht="18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1" t="s">
        <v>93</v>
      </c>
      <c r="N281" s="44"/>
      <c r="O281" s="44"/>
      <c r="P281" s="44"/>
      <c r="Q281" s="45"/>
      <c r="R281" s="46"/>
      <c r="S281" s="46"/>
      <c r="T281" s="46"/>
      <c r="U281" s="44" t="s">
        <v>96</v>
      </c>
      <c r="V281" s="46"/>
      <c r="W281" s="44"/>
      <c r="X281" s="44"/>
      <c r="Y281" s="44"/>
      <c r="Z281" s="44"/>
      <c r="AA281" s="44"/>
      <c r="AB281" s="42"/>
      <c r="AC281" s="47" t="s">
        <v>97</v>
      </c>
      <c r="AD281" s="48"/>
      <c r="AE281" s="43"/>
      <c r="AF281" s="43"/>
      <c r="AG281" s="43"/>
      <c r="AH281" s="43"/>
      <c r="AI281" s="55"/>
      <c r="AJ281" s="52"/>
      <c r="AT281" s="52"/>
      <c r="AU281" s="59"/>
      <c r="AV281" s="58"/>
      <c r="AW281" s="58"/>
      <c r="AX281" s="54" t="s">
        <v>69</v>
      </c>
      <c r="AY281" s="43" t="s">
        <v>70</v>
      </c>
      <c r="AZ281" s="43" t="s">
        <v>70</v>
      </c>
      <c r="BA281" s="43" t="s">
        <v>71</v>
      </c>
      <c r="BB281" s="43" t="s">
        <v>69</v>
      </c>
      <c r="BC281" s="51">
        <v>31</v>
      </c>
      <c r="BD281" s="43" t="s">
        <v>70</v>
      </c>
      <c r="BE281" s="9">
        <f t="shared" si="12"/>
        <v>272</v>
      </c>
      <c r="BF281" s="9" t="str">
        <f t="shared" si="11"/>
        <v>..</v>
      </c>
    </row>
    <row r="282" spans="1:58" ht="18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1" t="s">
        <v>93</v>
      </c>
      <c r="N282" s="44"/>
      <c r="O282" s="44"/>
      <c r="P282" s="44"/>
      <c r="Q282" s="45"/>
      <c r="R282" s="46"/>
      <c r="S282" s="46"/>
      <c r="T282" s="46"/>
      <c r="U282" s="44" t="s">
        <v>96</v>
      </c>
      <c r="V282" s="46"/>
      <c r="W282" s="44"/>
      <c r="X282" s="44"/>
      <c r="Y282" s="44"/>
      <c r="Z282" s="44"/>
      <c r="AA282" s="44"/>
      <c r="AB282" s="42"/>
      <c r="AC282" s="47" t="s">
        <v>97</v>
      </c>
      <c r="AD282" s="48"/>
      <c r="AE282" s="43"/>
      <c r="AF282" s="43"/>
      <c r="AG282" s="43"/>
      <c r="AH282" s="43"/>
      <c r="AI282" s="55"/>
      <c r="AJ282" s="52"/>
      <c r="AT282" s="52"/>
      <c r="AU282" s="59"/>
      <c r="AV282" s="58"/>
      <c r="AW282" s="58"/>
      <c r="AX282" s="54" t="s">
        <v>69</v>
      </c>
      <c r="AY282" s="43" t="s">
        <v>70</v>
      </c>
      <c r="AZ282" s="43" t="s">
        <v>70</v>
      </c>
      <c r="BA282" s="43" t="s">
        <v>71</v>
      </c>
      <c r="BB282" s="43" t="s">
        <v>69</v>
      </c>
      <c r="BC282" s="51">
        <v>31</v>
      </c>
      <c r="BD282" s="43" t="s">
        <v>70</v>
      </c>
      <c r="BE282" s="9">
        <f t="shared" si="12"/>
        <v>273</v>
      </c>
      <c r="BF282" s="9" t="str">
        <f t="shared" si="11"/>
        <v>..</v>
      </c>
    </row>
    <row r="283" spans="1:58" ht="18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1" t="s">
        <v>93</v>
      </c>
      <c r="N283" s="44"/>
      <c r="O283" s="44"/>
      <c r="P283" s="44"/>
      <c r="Q283" s="45"/>
      <c r="R283" s="46"/>
      <c r="S283" s="46"/>
      <c r="T283" s="46"/>
      <c r="U283" s="44" t="s">
        <v>96</v>
      </c>
      <c r="V283" s="46"/>
      <c r="W283" s="44"/>
      <c r="X283" s="44"/>
      <c r="Y283" s="44"/>
      <c r="Z283" s="44"/>
      <c r="AA283" s="44"/>
      <c r="AB283" s="42"/>
      <c r="AC283" s="47" t="s">
        <v>97</v>
      </c>
      <c r="AD283" s="48"/>
      <c r="AE283" s="43"/>
      <c r="AF283" s="43"/>
      <c r="AG283" s="43"/>
      <c r="AH283" s="43"/>
      <c r="AI283" s="55"/>
      <c r="AJ283" s="52"/>
      <c r="AT283" s="52"/>
      <c r="AU283" s="59"/>
      <c r="AV283" s="58"/>
      <c r="AW283" s="58"/>
      <c r="AX283" s="54" t="s">
        <v>69</v>
      </c>
      <c r="AY283" s="43" t="s">
        <v>70</v>
      </c>
      <c r="AZ283" s="43" t="s">
        <v>70</v>
      </c>
      <c r="BA283" s="43" t="s">
        <v>71</v>
      </c>
      <c r="BB283" s="43" t="s">
        <v>69</v>
      </c>
      <c r="BC283" s="51">
        <v>31</v>
      </c>
      <c r="BD283" s="43" t="s">
        <v>70</v>
      </c>
      <c r="BE283" s="9">
        <f t="shared" si="12"/>
        <v>274</v>
      </c>
      <c r="BF283" s="9" t="str">
        <f t="shared" si="11"/>
        <v>..</v>
      </c>
    </row>
    <row r="284" spans="1:58" ht="18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1" t="s">
        <v>93</v>
      </c>
      <c r="N284" s="44"/>
      <c r="O284" s="44"/>
      <c r="P284" s="44"/>
      <c r="Q284" s="45"/>
      <c r="R284" s="46"/>
      <c r="S284" s="46"/>
      <c r="T284" s="46"/>
      <c r="U284" s="44" t="s">
        <v>96</v>
      </c>
      <c r="V284" s="46"/>
      <c r="W284" s="44"/>
      <c r="X284" s="44"/>
      <c r="Y284" s="44"/>
      <c r="Z284" s="44"/>
      <c r="AA284" s="44"/>
      <c r="AB284" s="42"/>
      <c r="AC284" s="47" t="s">
        <v>97</v>
      </c>
      <c r="AD284" s="48"/>
      <c r="AE284" s="43"/>
      <c r="AF284" s="43"/>
      <c r="AG284" s="43"/>
      <c r="AH284" s="43"/>
      <c r="AI284" s="55"/>
      <c r="AJ284" s="52"/>
      <c r="AT284" s="52"/>
      <c r="AU284" s="59"/>
      <c r="AV284" s="58"/>
      <c r="AW284" s="58"/>
      <c r="AX284" s="54" t="s">
        <v>69</v>
      </c>
      <c r="AY284" s="43" t="s">
        <v>70</v>
      </c>
      <c r="AZ284" s="43" t="s">
        <v>70</v>
      </c>
      <c r="BA284" s="43" t="s">
        <v>71</v>
      </c>
      <c r="BB284" s="43" t="s">
        <v>69</v>
      </c>
      <c r="BC284" s="51">
        <v>31</v>
      </c>
      <c r="BD284" s="43" t="s">
        <v>70</v>
      </c>
      <c r="BE284" s="9">
        <f t="shared" si="12"/>
        <v>275</v>
      </c>
      <c r="BF284" s="9" t="str">
        <f t="shared" si="11"/>
        <v>..</v>
      </c>
    </row>
    <row r="285" spans="1:58" ht="18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1" t="s">
        <v>93</v>
      </c>
      <c r="N285" s="44"/>
      <c r="O285" s="44"/>
      <c r="P285" s="44"/>
      <c r="Q285" s="45"/>
      <c r="R285" s="46"/>
      <c r="S285" s="46"/>
      <c r="T285" s="46"/>
      <c r="U285" s="44" t="s">
        <v>96</v>
      </c>
      <c r="V285" s="46"/>
      <c r="W285" s="44"/>
      <c r="X285" s="44"/>
      <c r="Y285" s="44"/>
      <c r="Z285" s="44"/>
      <c r="AA285" s="44"/>
      <c r="AB285" s="42"/>
      <c r="AC285" s="47" t="s">
        <v>97</v>
      </c>
      <c r="AD285" s="48"/>
      <c r="AE285" s="43"/>
      <c r="AF285" s="43"/>
      <c r="AG285" s="43"/>
      <c r="AH285" s="43"/>
      <c r="AI285" s="55"/>
      <c r="AJ285" s="52"/>
      <c r="AT285" s="52"/>
      <c r="AU285" s="59"/>
      <c r="AV285" s="58"/>
      <c r="AW285" s="58"/>
      <c r="AX285" s="54" t="s">
        <v>69</v>
      </c>
      <c r="AY285" s="43" t="s">
        <v>70</v>
      </c>
      <c r="AZ285" s="43" t="s">
        <v>70</v>
      </c>
      <c r="BA285" s="43" t="s">
        <v>71</v>
      </c>
      <c r="BB285" s="43" t="s">
        <v>69</v>
      </c>
      <c r="BC285" s="51">
        <v>31</v>
      </c>
      <c r="BD285" s="43" t="s">
        <v>70</v>
      </c>
      <c r="BE285" s="9">
        <f t="shared" si="12"/>
        <v>276</v>
      </c>
      <c r="BF285" s="9" t="str">
        <f t="shared" si="11"/>
        <v>..</v>
      </c>
    </row>
    <row r="286" spans="1:58" ht="18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1" t="s">
        <v>93</v>
      </c>
      <c r="N286" s="44"/>
      <c r="O286" s="44"/>
      <c r="P286" s="44"/>
      <c r="Q286" s="45"/>
      <c r="R286" s="46"/>
      <c r="S286" s="46"/>
      <c r="T286" s="46"/>
      <c r="U286" s="44" t="s">
        <v>96</v>
      </c>
      <c r="V286" s="46"/>
      <c r="W286" s="44"/>
      <c r="X286" s="44"/>
      <c r="Y286" s="44"/>
      <c r="Z286" s="44"/>
      <c r="AA286" s="44"/>
      <c r="AB286" s="42"/>
      <c r="AC286" s="47" t="s">
        <v>97</v>
      </c>
      <c r="AD286" s="48"/>
      <c r="AE286" s="43"/>
      <c r="AF286" s="43"/>
      <c r="AG286" s="43"/>
      <c r="AH286" s="43"/>
      <c r="AI286" s="55"/>
      <c r="AJ286" s="52"/>
      <c r="AT286" s="52"/>
      <c r="AU286" s="59"/>
      <c r="AV286" s="58"/>
      <c r="AW286" s="58"/>
      <c r="AX286" s="54" t="s">
        <v>69</v>
      </c>
      <c r="AY286" s="43" t="s">
        <v>70</v>
      </c>
      <c r="AZ286" s="43" t="s">
        <v>70</v>
      </c>
      <c r="BA286" s="43" t="s">
        <v>71</v>
      </c>
      <c r="BB286" s="43" t="s">
        <v>69</v>
      </c>
      <c r="BC286" s="51">
        <v>31</v>
      </c>
      <c r="BD286" s="43" t="s">
        <v>70</v>
      </c>
      <c r="BE286" s="9">
        <f t="shared" si="12"/>
        <v>277</v>
      </c>
      <c r="BF286" s="9" t="str">
        <f t="shared" si="11"/>
        <v>..</v>
      </c>
    </row>
    <row r="287" spans="1:58" ht="18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1" t="s">
        <v>93</v>
      </c>
      <c r="N287" s="44"/>
      <c r="O287" s="44"/>
      <c r="P287" s="44"/>
      <c r="Q287" s="45"/>
      <c r="R287" s="46"/>
      <c r="S287" s="46"/>
      <c r="T287" s="46"/>
      <c r="U287" s="44" t="s">
        <v>96</v>
      </c>
      <c r="V287" s="46"/>
      <c r="W287" s="44"/>
      <c r="X287" s="44"/>
      <c r="Y287" s="44"/>
      <c r="Z287" s="44"/>
      <c r="AA287" s="44"/>
      <c r="AB287" s="42"/>
      <c r="AC287" s="47" t="s">
        <v>97</v>
      </c>
      <c r="AD287" s="48"/>
      <c r="AE287" s="43"/>
      <c r="AF287" s="43"/>
      <c r="AG287" s="43"/>
      <c r="AH287" s="43"/>
      <c r="AI287" s="55"/>
      <c r="AJ287" s="52"/>
      <c r="AT287" s="52"/>
      <c r="AU287" s="59"/>
      <c r="AV287" s="58"/>
      <c r="AW287" s="58"/>
      <c r="AX287" s="54" t="s">
        <v>69</v>
      </c>
      <c r="AY287" s="43" t="s">
        <v>70</v>
      </c>
      <c r="AZ287" s="43" t="s">
        <v>70</v>
      </c>
      <c r="BA287" s="43" t="s">
        <v>71</v>
      </c>
      <c r="BB287" s="43" t="s">
        <v>69</v>
      </c>
      <c r="BC287" s="51">
        <v>31</v>
      </c>
      <c r="BD287" s="43" t="s">
        <v>70</v>
      </c>
      <c r="BE287" s="9">
        <f t="shared" si="12"/>
        <v>278</v>
      </c>
      <c r="BF287" s="9" t="str">
        <f t="shared" si="11"/>
        <v>..</v>
      </c>
    </row>
    <row r="288" spans="1:58" ht="18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1" t="s">
        <v>93</v>
      </c>
      <c r="N288" s="44"/>
      <c r="O288" s="44"/>
      <c r="P288" s="44"/>
      <c r="Q288" s="45"/>
      <c r="R288" s="46"/>
      <c r="S288" s="46"/>
      <c r="T288" s="46"/>
      <c r="U288" s="44" t="s">
        <v>96</v>
      </c>
      <c r="V288" s="46"/>
      <c r="W288" s="44"/>
      <c r="X288" s="44"/>
      <c r="Y288" s="44"/>
      <c r="Z288" s="44"/>
      <c r="AA288" s="44"/>
      <c r="AB288" s="42"/>
      <c r="AC288" s="47" t="s">
        <v>97</v>
      </c>
      <c r="AD288" s="48"/>
      <c r="AE288" s="43"/>
      <c r="AF288" s="43"/>
      <c r="AG288" s="43"/>
      <c r="AH288" s="43"/>
      <c r="AI288" s="55"/>
      <c r="AJ288" s="52"/>
      <c r="AT288" s="52"/>
      <c r="AU288" s="59"/>
      <c r="AV288" s="58"/>
      <c r="AW288" s="58"/>
      <c r="AX288" s="54" t="s">
        <v>69</v>
      </c>
      <c r="AY288" s="43" t="s">
        <v>70</v>
      </c>
      <c r="AZ288" s="43" t="s">
        <v>70</v>
      </c>
      <c r="BA288" s="43" t="s">
        <v>71</v>
      </c>
      <c r="BB288" s="43" t="s">
        <v>69</v>
      </c>
      <c r="BC288" s="51">
        <v>31</v>
      </c>
      <c r="BD288" s="43" t="s">
        <v>70</v>
      </c>
      <c r="BE288" s="9">
        <f t="shared" si="12"/>
        <v>279</v>
      </c>
      <c r="BF288" s="9" t="str">
        <f t="shared" si="11"/>
        <v>..</v>
      </c>
    </row>
    <row r="289" spans="1:58" ht="18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1" t="s">
        <v>93</v>
      </c>
      <c r="N289" s="44"/>
      <c r="O289" s="44"/>
      <c r="P289" s="44"/>
      <c r="Q289" s="45"/>
      <c r="R289" s="46"/>
      <c r="S289" s="46"/>
      <c r="T289" s="46"/>
      <c r="U289" s="44" t="s">
        <v>96</v>
      </c>
      <c r="V289" s="46"/>
      <c r="W289" s="44"/>
      <c r="X289" s="44"/>
      <c r="Y289" s="44"/>
      <c r="Z289" s="44"/>
      <c r="AA289" s="44"/>
      <c r="AB289" s="42"/>
      <c r="AC289" s="47" t="s">
        <v>97</v>
      </c>
      <c r="AD289" s="48"/>
      <c r="AE289" s="43"/>
      <c r="AF289" s="43"/>
      <c r="AG289" s="43"/>
      <c r="AH289" s="43"/>
      <c r="AI289" s="55"/>
      <c r="AJ289" s="52"/>
      <c r="AT289" s="52"/>
      <c r="AU289" s="59"/>
      <c r="AV289" s="58"/>
      <c r="AW289" s="58"/>
      <c r="AX289" s="54" t="s">
        <v>69</v>
      </c>
      <c r="AY289" s="43" t="s">
        <v>70</v>
      </c>
      <c r="AZ289" s="43" t="s">
        <v>70</v>
      </c>
      <c r="BA289" s="43" t="s">
        <v>71</v>
      </c>
      <c r="BB289" s="43" t="s">
        <v>69</v>
      </c>
      <c r="BC289" s="51">
        <v>31</v>
      </c>
      <c r="BD289" s="43" t="s">
        <v>70</v>
      </c>
      <c r="BE289" s="9">
        <f t="shared" si="12"/>
        <v>280</v>
      </c>
      <c r="BF289" s="9" t="str">
        <f t="shared" si="11"/>
        <v>..</v>
      </c>
    </row>
    <row r="290" spans="1:58" ht="18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1" t="s">
        <v>93</v>
      </c>
      <c r="N290" s="44"/>
      <c r="O290" s="44"/>
      <c r="P290" s="44"/>
      <c r="Q290" s="45"/>
      <c r="R290" s="46"/>
      <c r="S290" s="46"/>
      <c r="T290" s="46"/>
      <c r="U290" s="44" t="s">
        <v>96</v>
      </c>
      <c r="V290" s="46"/>
      <c r="W290" s="44"/>
      <c r="X290" s="44"/>
      <c r="Y290" s="44"/>
      <c r="Z290" s="44"/>
      <c r="AA290" s="44"/>
      <c r="AB290" s="42"/>
      <c r="AC290" s="47" t="s">
        <v>97</v>
      </c>
      <c r="AD290" s="48"/>
      <c r="AE290" s="43"/>
      <c r="AF290" s="43"/>
      <c r="AG290" s="43"/>
      <c r="AH290" s="43"/>
      <c r="AI290" s="55"/>
      <c r="AJ290" s="52"/>
      <c r="AT290" s="52"/>
      <c r="AU290" s="59"/>
      <c r="AV290" s="58"/>
      <c r="AW290" s="58"/>
      <c r="AX290" s="54" t="s">
        <v>69</v>
      </c>
      <c r="AY290" s="43" t="s">
        <v>70</v>
      </c>
      <c r="AZ290" s="43" t="s">
        <v>70</v>
      </c>
      <c r="BA290" s="43" t="s">
        <v>71</v>
      </c>
      <c r="BB290" s="43" t="s">
        <v>69</v>
      </c>
      <c r="BC290" s="51">
        <v>31</v>
      </c>
      <c r="BD290" s="43" t="s">
        <v>70</v>
      </c>
      <c r="BE290" s="9">
        <f t="shared" si="12"/>
        <v>281</v>
      </c>
      <c r="BF290" s="9" t="str">
        <f t="shared" si="11"/>
        <v>..</v>
      </c>
    </row>
    <row r="291" spans="1:58" ht="18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1" t="s">
        <v>93</v>
      </c>
      <c r="N291" s="44"/>
      <c r="O291" s="44"/>
      <c r="P291" s="44"/>
      <c r="Q291" s="45"/>
      <c r="R291" s="46"/>
      <c r="S291" s="46"/>
      <c r="T291" s="46"/>
      <c r="U291" s="44" t="s">
        <v>96</v>
      </c>
      <c r="V291" s="46"/>
      <c r="W291" s="44"/>
      <c r="X291" s="44"/>
      <c r="Y291" s="44"/>
      <c r="Z291" s="44"/>
      <c r="AA291" s="44"/>
      <c r="AB291" s="42"/>
      <c r="AC291" s="47" t="s">
        <v>97</v>
      </c>
      <c r="AD291" s="48"/>
      <c r="AE291" s="43"/>
      <c r="AF291" s="43"/>
      <c r="AG291" s="43"/>
      <c r="AH291" s="43"/>
      <c r="AI291" s="55"/>
      <c r="AJ291" s="52"/>
      <c r="AT291" s="52"/>
      <c r="AU291" s="59"/>
      <c r="AV291" s="58"/>
      <c r="AW291" s="58"/>
      <c r="AX291" s="54" t="s">
        <v>69</v>
      </c>
      <c r="AY291" s="43" t="s">
        <v>70</v>
      </c>
      <c r="AZ291" s="43" t="s">
        <v>70</v>
      </c>
      <c r="BA291" s="43" t="s">
        <v>71</v>
      </c>
      <c r="BB291" s="43" t="s">
        <v>69</v>
      </c>
      <c r="BC291" s="51">
        <v>31</v>
      </c>
      <c r="BD291" s="43" t="s">
        <v>70</v>
      </c>
      <c r="BE291" s="9">
        <f t="shared" si="12"/>
        <v>282</v>
      </c>
      <c r="BF291" s="9" t="str">
        <f t="shared" si="11"/>
        <v>..</v>
      </c>
    </row>
    <row r="292" spans="1:58" ht="18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1" t="s">
        <v>93</v>
      </c>
      <c r="N292" s="44"/>
      <c r="O292" s="44"/>
      <c r="P292" s="44"/>
      <c r="Q292" s="45"/>
      <c r="R292" s="46"/>
      <c r="S292" s="46"/>
      <c r="T292" s="46"/>
      <c r="U292" s="44" t="s">
        <v>96</v>
      </c>
      <c r="V292" s="46"/>
      <c r="W292" s="44"/>
      <c r="X292" s="44"/>
      <c r="Y292" s="44"/>
      <c r="Z292" s="44"/>
      <c r="AA292" s="44"/>
      <c r="AB292" s="42"/>
      <c r="AC292" s="47" t="s">
        <v>97</v>
      </c>
      <c r="AD292" s="48"/>
      <c r="AE292" s="43"/>
      <c r="AF292" s="43"/>
      <c r="AG292" s="43"/>
      <c r="AH292" s="43"/>
      <c r="AI292" s="55"/>
      <c r="AJ292" s="52"/>
      <c r="AT292" s="52"/>
      <c r="AU292" s="59"/>
      <c r="AV292" s="58"/>
      <c r="AW292" s="58"/>
      <c r="AX292" s="54" t="s">
        <v>69</v>
      </c>
      <c r="AY292" s="43" t="s">
        <v>70</v>
      </c>
      <c r="AZ292" s="43" t="s">
        <v>70</v>
      </c>
      <c r="BA292" s="43" t="s">
        <v>71</v>
      </c>
      <c r="BB292" s="43" t="s">
        <v>69</v>
      </c>
      <c r="BC292" s="51">
        <v>31</v>
      </c>
      <c r="BD292" s="43" t="s">
        <v>70</v>
      </c>
      <c r="BE292" s="9">
        <f t="shared" si="12"/>
        <v>283</v>
      </c>
      <c r="BF292" s="9" t="str">
        <f t="shared" si="11"/>
        <v>..</v>
      </c>
    </row>
    <row r="293" spans="1:58" ht="18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1" t="s">
        <v>93</v>
      </c>
      <c r="N293" s="44"/>
      <c r="O293" s="44"/>
      <c r="P293" s="44"/>
      <c r="Q293" s="45"/>
      <c r="R293" s="46"/>
      <c r="S293" s="46"/>
      <c r="T293" s="46"/>
      <c r="U293" s="44" t="s">
        <v>96</v>
      </c>
      <c r="V293" s="46"/>
      <c r="W293" s="44"/>
      <c r="X293" s="44"/>
      <c r="Y293" s="44"/>
      <c r="Z293" s="44"/>
      <c r="AA293" s="44"/>
      <c r="AB293" s="42"/>
      <c r="AC293" s="47" t="s">
        <v>97</v>
      </c>
      <c r="AD293" s="48"/>
      <c r="AE293" s="43"/>
      <c r="AF293" s="43"/>
      <c r="AG293" s="43"/>
      <c r="AH293" s="43"/>
      <c r="AI293" s="55"/>
      <c r="AJ293" s="52"/>
      <c r="AT293" s="52"/>
      <c r="AU293" s="59"/>
      <c r="AV293" s="58"/>
      <c r="AW293" s="58"/>
      <c r="AX293" s="54" t="s">
        <v>69</v>
      </c>
      <c r="AY293" s="43" t="s">
        <v>70</v>
      </c>
      <c r="AZ293" s="43" t="s">
        <v>70</v>
      </c>
      <c r="BA293" s="43" t="s">
        <v>71</v>
      </c>
      <c r="BB293" s="43" t="s">
        <v>69</v>
      </c>
      <c r="BC293" s="51">
        <v>31</v>
      </c>
      <c r="BD293" s="43" t="s">
        <v>70</v>
      </c>
      <c r="BE293" s="9">
        <f t="shared" si="12"/>
        <v>284</v>
      </c>
      <c r="BF293" s="9" t="str">
        <f t="shared" si="11"/>
        <v>..</v>
      </c>
    </row>
    <row r="294" spans="1:58" ht="18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1" t="s">
        <v>93</v>
      </c>
      <c r="N294" s="44"/>
      <c r="O294" s="44"/>
      <c r="P294" s="44"/>
      <c r="Q294" s="45"/>
      <c r="R294" s="46"/>
      <c r="S294" s="46"/>
      <c r="T294" s="46"/>
      <c r="U294" s="44" t="s">
        <v>96</v>
      </c>
      <c r="V294" s="46"/>
      <c r="W294" s="44"/>
      <c r="X294" s="44"/>
      <c r="Y294" s="44"/>
      <c r="Z294" s="44"/>
      <c r="AA294" s="44"/>
      <c r="AB294" s="42"/>
      <c r="AC294" s="47" t="s">
        <v>97</v>
      </c>
      <c r="AD294" s="48"/>
      <c r="AE294" s="43"/>
      <c r="AF294" s="43"/>
      <c r="AG294" s="43"/>
      <c r="AH294" s="43"/>
      <c r="AI294" s="55"/>
      <c r="AJ294" s="52"/>
      <c r="AT294" s="52"/>
      <c r="AU294" s="59"/>
      <c r="AV294" s="58"/>
      <c r="AW294" s="58"/>
      <c r="AX294" s="54" t="s">
        <v>69</v>
      </c>
      <c r="AY294" s="43" t="s">
        <v>70</v>
      </c>
      <c r="AZ294" s="43" t="s">
        <v>70</v>
      </c>
      <c r="BA294" s="43" t="s">
        <v>71</v>
      </c>
      <c r="BB294" s="43" t="s">
        <v>69</v>
      </c>
      <c r="BC294" s="51">
        <v>31</v>
      </c>
      <c r="BD294" s="43" t="s">
        <v>70</v>
      </c>
      <c r="BE294" s="9">
        <f t="shared" si="12"/>
        <v>285</v>
      </c>
      <c r="BF294" s="9" t="str">
        <f t="shared" si="11"/>
        <v>..</v>
      </c>
    </row>
    <row r="295" spans="1:58" ht="18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1" t="s">
        <v>93</v>
      </c>
      <c r="N295" s="44"/>
      <c r="O295" s="44"/>
      <c r="P295" s="44"/>
      <c r="Q295" s="45"/>
      <c r="R295" s="46"/>
      <c r="S295" s="46"/>
      <c r="T295" s="46"/>
      <c r="U295" s="44" t="s">
        <v>96</v>
      </c>
      <c r="V295" s="46"/>
      <c r="W295" s="44"/>
      <c r="X295" s="44"/>
      <c r="Y295" s="44"/>
      <c r="Z295" s="44"/>
      <c r="AA295" s="44"/>
      <c r="AB295" s="42"/>
      <c r="AC295" s="47" t="s">
        <v>97</v>
      </c>
      <c r="AD295" s="48"/>
      <c r="AE295" s="43"/>
      <c r="AF295" s="43"/>
      <c r="AG295" s="43"/>
      <c r="AH295" s="43"/>
      <c r="AI295" s="55"/>
      <c r="AJ295" s="52"/>
      <c r="AT295" s="52"/>
      <c r="AU295" s="59"/>
      <c r="AV295" s="58"/>
      <c r="AW295" s="58"/>
      <c r="AX295" s="54" t="s">
        <v>69</v>
      </c>
      <c r="AY295" s="43" t="s">
        <v>70</v>
      </c>
      <c r="AZ295" s="43" t="s">
        <v>70</v>
      </c>
      <c r="BA295" s="43" t="s">
        <v>71</v>
      </c>
      <c r="BB295" s="43" t="s">
        <v>69</v>
      </c>
      <c r="BC295" s="51">
        <v>31</v>
      </c>
      <c r="BD295" s="43" t="s">
        <v>70</v>
      </c>
      <c r="BE295" s="9">
        <f t="shared" si="12"/>
        <v>286</v>
      </c>
      <c r="BF295" s="9" t="str">
        <f t="shared" si="11"/>
        <v>..</v>
      </c>
    </row>
    <row r="296" spans="1:58" ht="18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1" t="s">
        <v>93</v>
      </c>
      <c r="N296" s="44"/>
      <c r="O296" s="44"/>
      <c r="P296" s="44"/>
      <c r="Q296" s="45"/>
      <c r="R296" s="46"/>
      <c r="S296" s="46"/>
      <c r="T296" s="46"/>
      <c r="U296" s="44" t="s">
        <v>96</v>
      </c>
      <c r="V296" s="46"/>
      <c r="W296" s="44"/>
      <c r="X296" s="44"/>
      <c r="Y296" s="44"/>
      <c r="Z296" s="44"/>
      <c r="AA296" s="44"/>
      <c r="AB296" s="42"/>
      <c r="AC296" s="47" t="s">
        <v>97</v>
      </c>
      <c r="AD296" s="48"/>
      <c r="AE296" s="43"/>
      <c r="AF296" s="43"/>
      <c r="AG296" s="43"/>
      <c r="AH296" s="43"/>
      <c r="AI296" s="55"/>
      <c r="AJ296" s="52"/>
      <c r="AT296" s="52"/>
      <c r="AU296" s="59"/>
      <c r="AV296" s="58"/>
      <c r="AW296" s="58"/>
      <c r="AX296" s="54" t="s">
        <v>69</v>
      </c>
      <c r="AY296" s="43" t="s">
        <v>70</v>
      </c>
      <c r="AZ296" s="43" t="s">
        <v>70</v>
      </c>
      <c r="BA296" s="43" t="s">
        <v>71</v>
      </c>
      <c r="BB296" s="43" t="s">
        <v>69</v>
      </c>
      <c r="BC296" s="51">
        <v>31</v>
      </c>
      <c r="BD296" s="43" t="s">
        <v>70</v>
      </c>
      <c r="BE296" s="9">
        <f t="shared" si="12"/>
        <v>287</v>
      </c>
      <c r="BF296" s="9" t="str">
        <f t="shared" si="11"/>
        <v>..</v>
      </c>
    </row>
    <row r="297" spans="1:58" ht="18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1" t="s">
        <v>93</v>
      </c>
      <c r="N297" s="44"/>
      <c r="O297" s="44"/>
      <c r="P297" s="44"/>
      <c r="Q297" s="45"/>
      <c r="R297" s="46"/>
      <c r="S297" s="46"/>
      <c r="T297" s="46"/>
      <c r="U297" s="44" t="s">
        <v>96</v>
      </c>
      <c r="V297" s="46"/>
      <c r="W297" s="44"/>
      <c r="X297" s="44"/>
      <c r="Y297" s="44"/>
      <c r="Z297" s="44"/>
      <c r="AA297" s="44"/>
      <c r="AB297" s="42"/>
      <c r="AC297" s="47" t="s">
        <v>97</v>
      </c>
      <c r="AD297" s="48"/>
      <c r="AE297" s="43"/>
      <c r="AF297" s="43"/>
      <c r="AG297" s="43"/>
      <c r="AH297" s="43"/>
      <c r="AI297" s="55"/>
      <c r="AJ297" s="52"/>
      <c r="AT297" s="52"/>
      <c r="AU297" s="59"/>
      <c r="AV297" s="58"/>
      <c r="AW297" s="58"/>
      <c r="AX297" s="54" t="s">
        <v>69</v>
      </c>
      <c r="AY297" s="43" t="s">
        <v>70</v>
      </c>
      <c r="AZ297" s="43" t="s">
        <v>70</v>
      </c>
      <c r="BA297" s="43" t="s">
        <v>71</v>
      </c>
      <c r="BB297" s="43" t="s">
        <v>69</v>
      </c>
      <c r="BC297" s="51">
        <v>31</v>
      </c>
      <c r="BD297" s="43" t="s">
        <v>70</v>
      </c>
      <c r="BE297" s="9">
        <f t="shared" si="12"/>
        <v>288</v>
      </c>
      <c r="BF297" s="9" t="str">
        <f t="shared" si="11"/>
        <v>..</v>
      </c>
    </row>
    <row r="298" spans="1:58" ht="18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1" t="s">
        <v>93</v>
      </c>
      <c r="N298" s="44"/>
      <c r="O298" s="44"/>
      <c r="P298" s="44"/>
      <c r="Q298" s="45"/>
      <c r="R298" s="46"/>
      <c r="S298" s="46"/>
      <c r="T298" s="46"/>
      <c r="U298" s="44" t="s">
        <v>96</v>
      </c>
      <c r="V298" s="46"/>
      <c r="W298" s="44"/>
      <c r="X298" s="44"/>
      <c r="Y298" s="44"/>
      <c r="Z298" s="44"/>
      <c r="AA298" s="44"/>
      <c r="AB298" s="42"/>
      <c r="AC298" s="47" t="s">
        <v>97</v>
      </c>
      <c r="AD298" s="48"/>
      <c r="AE298" s="43"/>
      <c r="AF298" s="43"/>
      <c r="AG298" s="43"/>
      <c r="AH298" s="43"/>
      <c r="AI298" s="55"/>
      <c r="AJ298" s="52"/>
      <c r="AT298" s="52"/>
      <c r="AU298" s="59"/>
      <c r="AV298" s="58"/>
      <c r="AW298" s="58"/>
      <c r="AX298" s="54" t="s">
        <v>69</v>
      </c>
      <c r="AY298" s="43" t="s">
        <v>70</v>
      </c>
      <c r="AZ298" s="43" t="s">
        <v>70</v>
      </c>
      <c r="BA298" s="43" t="s">
        <v>71</v>
      </c>
      <c r="BB298" s="43" t="s">
        <v>69</v>
      </c>
      <c r="BC298" s="51">
        <v>31</v>
      </c>
      <c r="BD298" s="43" t="s">
        <v>70</v>
      </c>
      <c r="BE298" s="9">
        <f t="shared" si="12"/>
        <v>289</v>
      </c>
      <c r="BF298" s="9" t="str">
        <f t="shared" si="11"/>
        <v>..</v>
      </c>
    </row>
    <row r="299" spans="1:58" ht="18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1" t="s">
        <v>93</v>
      </c>
      <c r="N299" s="44"/>
      <c r="O299" s="44"/>
      <c r="P299" s="44"/>
      <c r="Q299" s="45"/>
      <c r="R299" s="46"/>
      <c r="S299" s="46"/>
      <c r="T299" s="46"/>
      <c r="U299" s="44" t="s">
        <v>96</v>
      </c>
      <c r="V299" s="46"/>
      <c r="W299" s="44"/>
      <c r="X299" s="44"/>
      <c r="Y299" s="44"/>
      <c r="Z299" s="44"/>
      <c r="AA299" s="44"/>
      <c r="AB299" s="42"/>
      <c r="AC299" s="47" t="s">
        <v>97</v>
      </c>
      <c r="AD299" s="48"/>
      <c r="AE299" s="43"/>
      <c r="AF299" s="43"/>
      <c r="AG299" s="43"/>
      <c r="AH299" s="43"/>
      <c r="AI299" s="55"/>
      <c r="AJ299" s="52"/>
      <c r="AT299" s="52"/>
      <c r="AU299" s="59"/>
      <c r="AV299" s="58"/>
      <c r="AW299" s="58"/>
      <c r="AX299" s="54" t="s">
        <v>69</v>
      </c>
      <c r="AY299" s="43" t="s">
        <v>70</v>
      </c>
      <c r="AZ299" s="43" t="s">
        <v>70</v>
      </c>
      <c r="BA299" s="43" t="s">
        <v>71</v>
      </c>
      <c r="BB299" s="43" t="s">
        <v>69</v>
      </c>
      <c r="BC299" s="51">
        <v>31</v>
      </c>
      <c r="BD299" s="43" t="s">
        <v>70</v>
      </c>
      <c r="BE299" s="9">
        <f t="shared" si="12"/>
        <v>290</v>
      </c>
      <c r="BF299" s="9" t="str">
        <f t="shared" si="11"/>
        <v>..</v>
      </c>
    </row>
    <row r="300" spans="1:58" ht="18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1" t="s">
        <v>93</v>
      </c>
      <c r="N300" s="44"/>
      <c r="O300" s="44"/>
      <c r="P300" s="44"/>
      <c r="Q300" s="45"/>
      <c r="R300" s="46"/>
      <c r="S300" s="46"/>
      <c r="T300" s="46"/>
      <c r="U300" s="44" t="s">
        <v>96</v>
      </c>
      <c r="V300" s="46"/>
      <c r="W300" s="44"/>
      <c r="X300" s="44"/>
      <c r="Y300" s="44"/>
      <c r="Z300" s="44"/>
      <c r="AA300" s="44"/>
      <c r="AB300" s="42"/>
      <c r="AC300" s="47" t="s">
        <v>97</v>
      </c>
      <c r="AD300" s="48"/>
      <c r="AE300" s="43"/>
      <c r="AF300" s="43"/>
      <c r="AG300" s="43"/>
      <c r="AH300" s="43"/>
      <c r="AI300" s="55"/>
      <c r="AJ300" s="52"/>
      <c r="AT300" s="52"/>
      <c r="AU300" s="59"/>
      <c r="AV300" s="58"/>
      <c r="AW300" s="58"/>
      <c r="AX300" s="54" t="s">
        <v>69</v>
      </c>
      <c r="AY300" s="43" t="s">
        <v>70</v>
      </c>
      <c r="AZ300" s="43" t="s">
        <v>70</v>
      </c>
      <c r="BA300" s="43" t="s">
        <v>71</v>
      </c>
      <c r="BB300" s="43" t="s">
        <v>69</v>
      </c>
      <c r="BC300" s="51">
        <v>31</v>
      </c>
      <c r="BD300" s="43" t="s">
        <v>70</v>
      </c>
      <c r="BE300" s="9">
        <f t="shared" si="12"/>
        <v>291</v>
      </c>
      <c r="BF300" s="9" t="str">
        <f t="shared" si="11"/>
        <v>..</v>
      </c>
    </row>
    <row r="301" spans="1:58" ht="18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1" t="s">
        <v>93</v>
      </c>
      <c r="N301" s="44"/>
      <c r="O301" s="44"/>
      <c r="P301" s="44"/>
      <c r="Q301" s="45"/>
      <c r="R301" s="46"/>
      <c r="S301" s="46"/>
      <c r="T301" s="46"/>
      <c r="U301" s="44" t="s">
        <v>96</v>
      </c>
      <c r="V301" s="46"/>
      <c r="W301" s="44"/>
      <c r="X301" s="44"/>
      <c r="Y301" s="44"/>
      <c r="Z301" s="44"/>
      <c r="AA301" s="44"/>
      <c r="AB301" s="42"/>
      <c r="AC301" s="47" t="s">
        <v>97</v>
      </c>
      <c r="AD301" s="48"/>
      <c r="AE301" s="43"/>
      <c r="AF301" s="43"/>
      <c r="AG301" s="43"/>
      <c r="AH301" s="43"/>
      <c r="AI301" s="55"/>
      <c r="AJ301" s="52"/>
      <c r="AT301" s="52"/>
      <c r="AU301" s="59"/>
      <c r="AV301" s="58"/>
      <c r="AW301" s="58"/>
      <c r="AX301" s="54" t="s">
        <v>69</v>
      </c>
      <c r="AY301" s="43" t="s">
        <v>70</v>
      </c>
      <c r="AZ301" s="43" t="s">
        <v>70</v>
      </c>
      <c r="BA301" s="43" t="s">
        <v>71</v>
      </c>
      <c r="BB301" s="43" t="s">
        <v>69</v>
      </c>
      <c r="BC301" s="51">
        <v>31</v>
      </c>
      <c r="BD301" s="43" t="s">
        <v>70</v>
      </c>
      <c r="BE301" s="9">
        <f t="shared" si="12"/>
        <v>292</v>
      </c>
      <c r="BF301" s="9" t="str">
        <f t="shared" si="11"/>
        <v>..</v>
      </c>
    </row>
    <row r="302" spans="1:58" ht="18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1" t="s">
        <v>93</v>
      </c>
      <c r="N302" s="44"/>
      <c r="O302" s="44"/>
      <c r="P302" s="44"/>
      <c r="Q302" s="45"/>
      <c r="R302" s="46"/>
      <c r="S302" s="46"/>
      <c r="T302" s="46"/>
      <c r="U302" s="44" t="s">
        <v>96</v>
      </c>
      <c r="V302" s="46"/>
      <c r="W302" s="44"/>
      <c r="X302" s="44"/>
      <c r="Y302" s="44"/>
      <c r="Z302" s="44"/>
      <c r="AA302" s="44"/>
      <c r="AB302" s="42"/>
      <c r="AC302" s="47" t="s">
        <v>97</v>
      </c>
      <c r="AD302" s="48"/>
      <c r="AE302" s="43"/>
      <c r="AF302" s="43"/>
      <c r="AG302" s="43"/>
      <c r="AH302" s="43"/>
      <c r="AI302" s="55"/>
      <c r="AJ302" s="52"/>
      <c r="AT302" s="52"/>
      <c r="AU302" s="59"/>
      <c r="AV302" s="58"/>
      <c r="AW302" s="58"/>
      <c r="AX302" s="54" t="s">
        <v>69</v>
      </c>
      <c r="AY302" s="43" t="s">
        <v>70</v>
      </c>
      <c r="AZ302" s="43" t="s">
        <v>70</v>
      </c>
      <c r="BA302" s="43" t="s">
        <v>71</v>
      </c>
      <c r="BB302" s="43" t="s">
        <v>69</v>
      </c>
      <c r="BC302" s="51">
        <v>31</v>
      </c>
      <c r="BD302" s="43" t="s">
        <v>70</v>
      </c>
      <c r="BE302" s="9">
        <f t="shared" si="12"/>
        <v>293</v>
      </c>
      <c r="BF302" s="9" t="str">
        <f t="shared" si="11"/>
        <v>..</v>
      </c>
    </row>
    <row r="303" spans="1:58" ht="18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1" t="s">
        <v>93</v>
      </c>
      <c r="N303" s="44"/>
      <c r="O303" s="44"/>
      <c r="P303" s="44"/>
      <c r="Q303" s="45"/>
      <c r="R303" s="46"/>
      <c r="S303" s="46"/>
      <c r="T303" s="46"/>
      <c r="U303" s="44" t="s">
        <v>96</v>
      </c>
      <c r="V303" s="46"/>
      <c r="W303" s="44"/>
      <c r="X303" s="44"/>
      <c r="Y303" s="44"/>
      <c r="Z303" s="44"/>
      <c r="AA303" s="44"/>
      <c r="AB303" s="42"/>
      <c r="AC303" s="47" t="s">
        <v>97</v>
      </c>
      <c r="AD303" s="48"/>
      <c r="AE303" s="43"/>
      <c r="AF303" s="43"/>
      <c r="AG303" s="43"/>
      <c r="AH303" s="43"/>
      <c r="AI303" s="55"/>
      <c r="AJ303" s="52"/>
      <c r="AT303" s="52"/>
      <c r="AU303" s="59"/>
      <c r="AV303" s="58"/>
      <c r="AW303" s="58"/>
      <c r="AX303" s="54" t="s">
        <v>69</v>
      </c>
      <c r="AY303" s="43" t="s">
        <v>70</v>
      </c>
      <c r="AZ303" s="43" t="s">
        <v>70</v>
      </c>
      <c r="BA303" s="43" t="s">
        <v>71</v>
      </c>
      <c r="BB303" s="43" t="s">
        <v>69</v>
      </c>
      <c r="BC303" s="51">
        <v>31</v>
      </c>
      <c r="BD303" s="43" t="s">
        <v>70</v>
      </c>
      <c r="BE303" s="9">
        <f t="shared" si="12"/>
        <v>294</v>
      </c>
      <c r="BF303" s="9" t="str">
        <f t="shared" si="11"/>
        <v>..</v>
      </c>
    </row>
    <row r="304" spans="1:58" ht="18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1" t="s">
        <v>93</v>
      </c>
      <c r="N304" s="44"/>
      <c r="O304" s="44"/>
      <c r="P304" s="44"/>
      <c r="Q304" s="45"/>
      <c r="R304" s="46"/>
      <c r="S304" s="46"/>
      <c r="T304" s="46"/>
      <c r="U304" s="44" t="s">
        <v>96</v>
      </c>
      <c r="V304" s="46"/>
      <c r="W304" s="44"/>
      <c r="X304" s="44"/>
      <c r="Y304" s="44"/>
      <c r="Z304" s="44"/>
      <c r="AA304" s="44"/>
      <c r="AB304" s="42"/>
      <c r="AC304" s="47" t="s">
        <v>97</v>
      </c>
      <c r="AD304" s="48"/>
      <c r="AE304" s="43"/>
      <c r="AF304" s="43"/>
      <c r="AG304" s="43"/>
      <c r="AH304" s="43"/>
      <c r="AI304" s="55"/>
      <c r="AJ304" s="52"/>
      <c r="AT304" s="52"/>
      <c r="AU304" s="59"/>
      <c r="AV304" s="58"/>
      <c r="AW304" s="58"/>
      <c r="AX304" s="54" t="s">
        <v>69</v>
      </c>
      <c r="AY304" s="43" t="s">
        <v>70</v>
      </c>
      <c r="AZ304" s="43" t="s">
        <v>70</v>
      </c>
      <c r="BA304" s="43" t="s">
        <v>71</v>
      </c>
      <c r="BB304" s="43" t="s">
        <v>69</v>
      </c>
      <c r="BC304" s="51">
        <v>31</v>
      </c>
      <c r="BD304" s="43" t="s">
        <v>70</v>
      </c>
      <c r="BE304" s="9">
        <f t="shared" si="12"/>
        <v>295</v>
      </c>
      <c r="BF304" s="9" t="str">
        <f t="shared" si="11"/>
        <v>..</v>
      </c>
    </row>
    <row r="305" spans="1:58" ht="18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1" t="s">
        <v>93</v>
      </c>
      <c r="N305" s="44"/>
      <c r="O305" s="44"/>
      <c r="P305" s="44"/>
      <c r="Q305" s="45"/>
      <c r="R305" s="46"/>
      <c r="S305" s="46"/>
      <c r="T305" s="46"/>
      <c r="U305" s="44" t="s">
        <v>96</v>
      </c>
      <c r="V305" s="46"/>
      <c r="W305" s="44"/>
      <c r="X305" s="44"/>
      <c r="Y305" s="44"/>
      <c r="Z305" s="44"/>
      <c r="AA305" s="44"/>
      <c r="AB305" s="42"/>
      <c r="AC305" s="47" t="s">
        <v>97</v>
      </c>
      <c r="AD305" s="48"/>
      <c r="AE305" s="43"/>
      <c r="AF305" s="43"/>
      <c r="AG305" s="43"/>
      <c r="AH305" s="43"/>
      <c r="AI305" s="55"/>
      <c r="AJ305" s="52"/>
      <c r="AT305" s="52"/>
      <c r="AU305" s="59"/>
      <c r="AV305" s="58"/>
      <c r="AW305" s="58"/>
      <c r="AX305" s="54" t="s">
        <v>69</v>
      </c>
      <c r="AY305" s="43" t="s">
        <v>70</v>
      </c>
      <c r="AZ305" s="43" t="s">
        <v>70</v>
      </c>
      <c r="BA305" s="43" t="s">
        <v>71</v>
      </c>
      <c r="BB305" s="43" t="s">
        <v>69</v>
      </c>
      <c r="BC305" s="51">
        <v>31</v>
      </c>
      <c r="BD305" s="43" t="s">
        <v>70</v>
      </c>
      <c r="BE305" s="9">
        <f t="shared" si="12"/>
        <v>296</v>
      </c>
      <c r="BF305" s="9" t="str">
        <f t="shared" si="11"/>
        <v>..</v>
      </c>
    </row>
    <row r="306" spans="1:58" ht="18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1" t="s">
        <v>93</v>
      </c>
      <c r="N306" s="44"/>
      <c r="O306" s="44"/>
      <c r="P306" s="44"/>
      <c r="Q306" s="45"/>
      <c r="R306" s="46"/>
      <c r="S306" s="46"/>
      <c r="T306" s="46"/>
      <c r="U306" s="44" t="s">
        <v>96</v>
      </c>
      <c r="V306" s="46"/>
      <c r="W306" s="44"/>
      <c r="X306" s="44"/>
      <c r="Y306" s="44"/>
      <c r="Z306" s="44"/>
      <c r="AA306" s="44"/>
      <c r="AB306" s="42"/>
      <c r="AC306" s="47" t="s">
        <v>97</v>
      </c>
      <c r="AD306" s="48"/>
      <c r="AE306" s="43"/>
      <c r="AF306" s="43"/>
      <c r="AG306" s="43"/>
      <c r="AH306" s="43"/>
      <c r="AI306" s="55"/>
      <c r="AJ306" s="52"/>
      <c r="AT306" s="52"/>
      <c r="AU306" s="59"/>
      <c r="AV306" s="58"/>
      <c r="AW306" s="58"/>
      <c r="AX306" s="54" t="s">
        <v>69</v>
      </c>
      <c r="AY306" s="43" t="s">
        <v>70</v>
      </c>
      <c r="AZ306" s="43" t="s">
        <v>70</v>
      </c>
      <c r="BA306" s="43" t="s">
        <v>71</v>
      </c>
      <c r="BB306" s="43" t="s">
        <v>69</v>
      </c>
      <c r="BC306" s="51">
        <v>31</v>
      </c>
      <c r="BD306" s="43" t="s">
        <v>70</v>
      </c>
      <c r="BE306" s="9">
        <f t="shared" si="12"/>
        <v>297</v>
      </c>
      <c r="BF306" s="9" t="str">
        <f t="shared" si="11"/>
        <v>..</v>
      </c>
    </row>
    <row r="307" spans="1:58" ht="18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1" t="s">
        <v>93</v>
      </c>
      <c r="N307" s="44"/>
      <c r="O307" s="44"/>
      <c r="P307" s="44"/>
      <c r="Q307" s="45"/>
      <c r="R307" s="46"/>
      <c r="S307" s="46"/>
      <c r="T307" s="46"/>
      <c r="U307" s="44" t="s">
        <v>96</v>
      </c>
      <c r="V307" s="46"/>
      <c r="W307" s="44"/>
      <c r="X307" s="44"/>
      <c r="Y307" s="44"/>
      <c r="Z307" s="44"/>
      <c r="AA307" s="44"/>
      <c r="AB307" s="42"/>
      <c r="AC307" s="47" t="s">
        <v>97</v>
      </c>
      <c r="AD307" s="48"/>
      <c r="AE307" s="43"/>
      <c r="AF307" s="43"/>
      <c r="AG307" s="43"/>
      <c r="AH307" s="43"/>
      <c r="AI307" s="55"/>
      <c r="AJ307" s="52"/>
      <c r="AT307" s="52"/>
      <c r="AU307" s="59"/>
      <c r="AV307" s="58"/>
      <c r="AW307" s="58"/>
      <c r="AX307" s="54" t="s">
        <v>69</v>
      </c>
      <c r="AY307" s="43" t="s">
        <v>70</v>
      </c>
      <c r="AZ307" s="43" t="s">
        <v>70</v>
      </c>
      <c r="BA307" s="43" t="s">
        <v>71</v>
      </c>
      <c r="BB307" s="43" t="s">
        <v>69</v>
      </c>
      <c r="BC307" s="51">
        <v>31</v>
      </c>
      <c r="BD307" s="43" t="s">
        <v>70</v>
      </c>
      <c r="BE307" s="9">
        <f t="shared" si="12"/>
        <v>298</v>
      </c>
      <c r="BF307" s="9" t="str">
        <f t="shared" si="11"/>
        <v>..</v>
      </c>
    </row>
    <row r="308" spans="1:58" ht="18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1" t="s">
        <v>93</v>
      </c>
      <c r="N308" s="44"/>
      <c r="O308" s="44"/>
      <c r="P308" s="44"/>
      <c r="Q308" s="45"/>
      <c r="R308" s="46"/>
      <c r="S308" s="46"/>
      <c r="T308" s="46"/>
      <c r="U308" s="44" t="s">
        <v>96</v>
      </c>
      <c r="V308" s="46"/>
      <c r="W308" s="44"/>
      <c r="X308" s="44"/>
      <c r="Y308" s="44"/>
      <c r="Z308" s="44"/>
      <c r="AA308" s="44"/>
      <c r="AB308" s="42"/>
      <c r="AC308" s="47" t="s">
        <v>97</v>
      </c>
      <c r="AD308" s="48"/>
      <c r="AE308" s="43"/>
      <c r="AF308" s="43"/>
      <c r="AG308" s="43"/>
      <c r="AH308" s="43"/>
      <c r="AI308" s="55"/>
      <c r="AJ308" s="52"/>
      <c r="AT308" s="52"/>
      <c r="AU308" s="59"/>
      <c r="AV308" s="58"/>
      <c r="AW308" s="58"/>
      <c r="AX308" s="54" t="s">
        <v>69</v>
      </c>
      <c r="AY308" s="43" t="s">
        <v>70</v>
      </c>
      <c r="AZ308" s="43" t="s">
        <v>70</v>
      </c>
      <c r="BA308" s="43" t="s">
        <v>71</v>
      </c>
      <c r="BB308" s="43" t="s">
        <v>69</v>
      </c>
      <c r="BC308" s="51">
        <v>31</v>
      </c>
      <c r="BD308" s="43" t="s">
        <v>70</v>
      </c>
      <c r="BE308" s="9">
        <f t="shared" si="12"/>
        <v>299</v>
      </c>
      <c r="BF308" s="9" t="str">
        <f t="shared" si="11"/>
        <v>..</v>
      </c>
    </row>
    <row r="309" spans="1:58" ht="18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1" t="s">
        <v>93</v>
      </c>
      <c r="N309" s="44"/>
      <c r="O309" s="44"/>
      <c r="P309" s="44"/>
      <c r="Q309" s="45"/>
      <c r="R309" s="46"/>
      <c r="S309" s="46"/>
      <c r="T309" s="46"/>
      <c r="U309" s="44" t="s">
        <v>96</v>
      </c>
      <c r="V309" s="46"/>
      <c r="W309" s="44"/>
      <c r="X309" s="44"/>
      <c r="Y309" s="44"/>
      <c r="Z309" s="44"/>
      <c r="AA309" s="44"/>
      <c r="AB309" s="42"/>
      <c r="AC309" s="47" t="s">
        <v>97</v>
      </c>
      <c r="AD309" s="48"/>
      <c r="AE309" s="43"/>
      <c r="AF309" s="43"/>
      <c r="AG309" s="43"/>
      <c r="AH309" s="43"/>
      <c r="AI309" s="55"/>
      <c r="AJ309" s="52"/>
      <c r="AT309" s="52"/>
      <c r="AU309" s="59"/>
      <c r="AV309" s="58"/>
      <c r="AW309" s="58"/>
      <c r="AX309" s="54" t="s">
        <v>69</v>
      </c>
      <c r="AY309" s="43" t="s">
        <v>70</v>
      </c>
      <c r="AZ309" s="43" t="s">
        <v>70</v>
      </c>
      <c r="BA309" s="43" t="s">
        <v>71</v>
      </c>
      <c r="BB309" s="43" t="s">
        <v>69</v>
      </c>
      <c r="BC309" s="51">
        <v>31</v>
      </c>
      <c r="BD309" s="43" t="s">
        <v>70</v>
      </c>
      <c r="BE309" s="9">
        <f t="shared" si="12"/>
        <v>300</v>
      </c>
      <c r="BF309" s="9" t="str">
        <f t="shared" si="11"/>
        <v>..</v>
      </c>
    </row>
    <row r="310" spans="1:58" ht="18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1" t="s">
        <v>93</v>
      </c>
      <c r="N310" s="44"/>
      <c r="O310" s="44"/>
      <c r="P310" s="44"/>
      <c r="Q310" s="45"/>
      <c r="R310" s="46"/>
      <c r="S310" s="46"/>
      <c r="T310" s="46"/>
      <c r="U310" s="44" t="s">
        <v>96</v>
      </c>
      <c r="V310" s="46"/>
      <c r="W310" s="44"/>
      <c r="X310" s="44"/>
      <c r="Y310" s="44"/>
      <c r="Z310" s="44"/>
      <c r="AA310" s="44"/>
      <c r="AB310" s="42"/>
      <c r="AC310" s="47" t="s">
        <v>97</v>
      </c>
      <c r="AD310" s="48"/>
      <c r="AE310" s="43"/>
      <c r="AF310" s="43"/>
      <c r="AG310" s="43"/>
      <c r="AH310" s="43"/>
      <c r="AI310" s="55"/>
      <c r="AJ310" s="52"/>
      <c r="AT310" s="52"/>
      <c r="AU310" s="59"/>
      <c r="AV310" s="58"/>
      <c r="AW310" s="58"/>
      <c r="AX310" s="54" t="s">
        <v>69</v>
      </c>
      <c r="AY310" s="43" t="s">
        <v>70</v>
      </c>
      <c r="AZ310" s="43" t="s">
        <v>70</v>
      </c>
      <c r="BA310" s="43" t="s">
        <v>71</v>
      </c>
      <c r="BB310" s="43" t="s">
        <v>69</v>
      </c>
      <c r="BC310" s="51">
        <v>31</v>
      </c>
      <c r="BD310" s="43" t="s">
        <v>70</v>
      </c>
      <c r="BE310" s="9">
        <f t="shared" si="12"/>
        <v>301</v>
      </c>
      <c r="BF310" s="9" t="str">
        <f t="shared" si="11"/>
        <v>..</v>
      </c>
    </row>
    <row r="311" spans="1:58" ht="18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1" t="s">
        <v>93</v>
      </c>
      <c r="N311" s="44"/>
      <c r="O311" s="44"/>
      <c r="P311" s="44"/>
      <c r="Q311" s="45"/>
      <c r="R311" s="46"/>
      <c r="S311" s="46"/>
      <c r="T311" s="46"/>
      <c r="U311" s="44" t="s">
        <v>96</v>
      </c>
      <c r="V311" s="46"/>
      <c r="W311" s="44"/>
      <c r="X311" s="44"/>
      <c r="Y311" s="44"/>
      <c r="Z311" s="44"/>
      <c r="AA311" s="44"/>
      <c r="AB311" s="42"/>
      <c r="AC311" s="47" t="s">
        <v>97</v>
      </c>
      <c r="AD311" s="48"/>
      <c r="AE311" s="43"/>
      <c r="AF311" s="43"/>
      <c r="AG311" s="43"/>
      <c r="AH311" s="43"/>
      <c r="AI311" s="55"/>
      <c r="AJ311" s="52"/>
      <c r="AT311" s="52"/>
      <c r="AU311" s="59"/>
      <c r="AV311" s="58"/>
      <c r="AW311" s="58"/>
      <c r="AX311" s="54" t="s">
        <v>69</v>
      </c>
      <c r="AY311" s="43" t="s">
        <v>70</v>
      </c>
      <c r="AZ311" s="43" t="s">
        <v>70</v>
      </c>
      <c r="BA311" s="43" t="s">
        <v>71</v>
      </c>
      <c r="BB311" s="43" t="s">
        <v>69</v>
      </c>
      <c r="BC311" s="51">
        <v>31</v>
      </c>
      <c r="BD311" s="43" t="s">
        <v>70</v>
      </c>
      <c r="BE311" s="9">
        <f t="shared" si="12"/>
        <v>302</v>
      </c>
      <c r="BF311" s="9" t="str">
        <f t="shared" si="11"/>
        <v>..</v>
      </c>
    </row>
    <row r="312" spans="1:58" ht="18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1" t="s">
        <v>93</v>
      </c>
      <c r="N312" s="44"/>
      <c r="O312" s="44"/>
      <c r="P312" s="44"/>
      <c r="Q312" s="45"/>
      <c r="R312" s="46"/>
      <c r="S312" s="46"/>
      <c r="T312" s="46"/>
      <c r="U312" s="44" t="s">
        <v>96</v>
      </c>
      <c r="V312" s="46"/>
      <c r="W312" s="44"/>
      <c r="X312" s="44"/>
      <c r="Y312" s="44"/>
      <c r="Z312" s="44"/>
      <c r="AA312" s="44"/>
      <c r="AB312" s="42"/>
      <c r="AC312" s="47" t="s">
        <v>97</v>
      </c>
      <c r="AD312" s="48"/>
      <c r="AE312" s="43"/>
      <c r="AF312" s="43"/>
      <c r="AG312" s="43"/>
      <c r="AH312" s="43"/>
      <c r="AI312" s="55"/>
      <c r="AJ312" s="52"/>
      <c r="AT312" s="52"/>
      <c r="AU312" s="59"/>
      <c r="AV312" s="58"/>
      <c r="AW312" s="58"/>
      <c r="AX312" s="54" t="s">
        <v>69</v>
      </c>
      <c r="AY312" s="43" t="s">
        <v>70</v>
      </c>
      <c r="AZ312" s="43" t="s">
        <v>70</v>
      </c>
      <c r="BA312" s="43" t="s">
        <v>71</v>
      </c>
      <c r="BB312" s="43" t="s">
        <v>69</v>
      </c>
      <c r="BC312" s="51">
        <v>31</v>
      </c>
      <c r="BD312" s="43" t="s">
        <v>70</v>
      </c>
      <c r="BE312" s="9">
        <f t="shared" si="12"/>
        <v>303</v>
      </c>
      <c r="BF312" s="9" t="str">
        <f t="shared" si="11"/>
        <v>..</v>
      </c>
    </row>
    <row r="313" spans="1:58" ht="18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1" t="s">
        <v>93</v>
      </c>
      <c r="N313" s="44"/>
      <c r="O313" s="44"/>
      <c r="P313" s="44"/>
      <c r="Q313" s="45"/>
      <c r="R313" s="46"/>
      <c r="S313" s="46"/>
      <c r="T313" s="46"/>
      <c r="U313" s="44" t="s">
        <v>96</v>
      </c>
      <c r="V313" s="46"/>
      <c r="W313" s="44"/>
      <c r="X313" s="44"/>
      <c r="Y313" s="44"/>
      <c r="Z313" s="44"/>
      <c r="AA313" s="44"/>
      <c r="AB313" s="42"/>
      <c r="AC313" s="47" t="s">
        <v>97</v>
      </c>
      <c r="AD313" s="48"/>
      <c r="AE313" s="43"/>
      <c r="AF313" s="43"/>
      <c r="AG313" s="43"/>
      <c r="AH313" s="43"/>
      <c r="AI313" s="55"/>
      <c r="AJ313" s="52"/>
      <c r="AT313" s="52"/>
      <c r="AU313" s="59"/>
      <c r="AV313" s="58"/>
      <c r="AW313" s="58"/>
      <c r="AX313" s="54" t="s">
        <v>69</v>
      </c>
      <c r="AY313" s="43" t="s">
        <v>70</v>
      </c>
      <c r="AZ313" s="43" t="s">
        <v>70</v>
      </c>
      <c r="BA313" s="43" t="s">
        <v>71</v>
      </c>
      <c r="BB313" s="43" t="s">
        <v>69</v>
      </c>
      <c r="BC313" s="51">
        <v>31</v>
      </c>
      <c r="BD313" s="43" t="s">
        <v>70</v>
      </c>
      <c r="BE313" s="9">
        <f t="shared" si="12"/>
        <v>304</v>
      </c>
      <c r="BF313" s="9" t="str">
        <f t="shared" si="11"/>
        <v>..</v>
      </c>
    </row>
    <row r="314" spans="1:58" ht="18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1" t="s">
        <v>93</v>
      </c>
      <c r="N314" s="44"/>
      <c r="O314" s="44"/>
      <c r="P314" s="44"/>
      <c r="Q314" s="45"/>
      <c r="R314" s="46"/>
      <c r="S314" s="46"/>
      <c r="T314" s="46"/>
      <c r="U314" s="44" t="s">
        <v>96</v>
      </c>
      <c r="V314" s="46"/>
      <c r="W314" s="44"/>
      <c r="X314" s="44"/>
      <c r="Y314" s="44"/>
      <c r="Z314" s="44"/>
      <c r="AA314" s="44"/>
      <c r="AB314" s="42"/>
      <c r="AC314" s="47" t="s">
        <v>97</v>
      </c>
      <c r="AD314" s="48"/>
      <c r="AE314" s="43"/>
      <c r="AF314" s="43"/>
      <c r="AG314" s="43"/>
      <c r="AH314" s="43"/>
      <c r="AI314" s="55"/>
      <c r="AJ314" s="52"/>
      <c r="AT314" s="52"/>
      <c r="AU314" s="59"/>
      <c r="AV314" s="58"/>
      <c r="AW314" s="58"/>
      <c r="AX314" s="54" t="s">
        <v>69</v>
      </c>
      <c r="AY314" s="43" t="s">
        <v>70</v>
      </c>
      <c r="AZ314" s="43" t="s">
        <v>70</v>
      </c>
      <c r="BA314" s="43" t="s">
        <v>71</v>
      </c>
      <c r="BB314" s="43" t="s">
        <v>69</v>
      </c>
      <c r="BC314" s="51">
        <v>31</v>
      </c>
      <c r="BD314" s="43" t="s">
        <v>70</v>
      </c>
      <c r="BE314" s="9">
        <f t="shared" si="12"/>
        <v>305</v>
      </c>
      <c r="BF314" s="9" t="str">
        <f t="shared" si="11"/>
        <v>..</v>
      </c>
    </row>
    <row r="315" spans="1:58" ht="18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1" t="s">
        <v>93</v>
      </c>
      <c r="N315" s="44"/>
      <c r="O315" s="44"/>
      <c r="P315" s="44"/>
      <c r="Q315" s="45"/>
      <c r="R315" s="46"/>
      <c r="S315" s="46"/>
      <c r="T315" s="46"/>
      <c r="U315" s="44" t="s">
        <v>96</v>
      </c>
      <c r="V315" s="46"/>
      <c r="W315" s="44"/>
      <c r="X315" s="44"/>
      <c r="Y315" s="44"/>
      <c r="Z315" s="44"/>
      <c r="AA315" s="44"/>
      <c r="AB315" s="42"/>
      <c r="AC315" s="47" t="s">
        <v>97</v>
      </c>
      <c r="AD315" s="48"/>
      <c r="AE315" s="43"/>
      <c r="AF315" s="43"/>
      <c r="AG315" s="43"/>
      <c r="AH315" s="43"/>
      <c r="AI315" s="55"/>
      <c r="AJ315" s="52"/>
      <c r="AT315" s="52"/>
      <c r="AU315" s="59"/>
      <c r="AV315" s="58"/>
      <c r="AW315" s="58"/>
      <c r="AX315" s="54" t="s">
        <v>69</v>
      </c>
      <c r="AY315" s="43" t="s">
        <v>70</v>
      </c>
      <c r="AZ315" s="43" t="s">
        <v>70</v>
      </c>
      <c r="BA315" s="43" t="s">
        <v>71</v>
      </c>
      <c r="BB315" s="43" t="s">
        <v>69</v>
      </c>
      <c r="BC315" s="51">
        <v>31</v>
      </c>
      <c r="BD315" s="43" t="s">
        <v>70</v>
      </c>
      <c r="BE315" s="9">
        <f t="shared" si="12"/>
        <v>306</v>
      </c>
      <c r="BF315" s="9" t="str">
        <f t="shared" ref="BF315:BF354" si="13">CONCATENATE(AB315,".",AD315,".",AJ315)</f>
        <v>..</v>
      </c>
    </row>
    <row r="316" spans="1:58" ht="18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1" t="s">
        <v>93</v>
      </c>
      <c r="N316" s="44"/>
      <c r="O316" s="44"/>
      <c r="P316" s="44"/>
      <c r="Q316" s="45"/>
      <c r="R316" s="46"/>
      <c r="S316" s="46"/>
      <c r="T316" s="46"/>
      <c r="U316" s="44" t="s">
        <v>96</v>
      </c>
      <c r="V316" s="46"/>
      <c r="W316" s="44"/>
      <c r="X316" s="44"/>
      <c r="Y316" s="44"/>
      <c r="Z316" s="44"/>
      <c r="AA316" s="44"/>
      <c r="AB316" s="42"/>
      <c r="AC316" s="47" t="s">
        <v>97</v>
      </c>
      <c r="AD316" s="48"/>
      <c r="AE316" s="43"/>
      <c r="AF316" s="43"/>
      <c r="AG316" s="43"/>
      <c r="AH316" s="43"/>
      <c r="AI316" s="55"/>
      <c r="AJ316" s="52"/>
      <c r="AT316" s="52"/>
      <c r="AU316" s="59"/>
      <c r="AV316" s="58"/>
      <c r="AW316" s="58"/>
      <c r="AX316" s="54" t="s">
        <v>69</v>
      </c>
      <c r="AY316" s="43" t="s">
        <v>70</v>
      </c>
      <c r="AZ316" s="43" t="s">
        <v>70</v>
      </c>
      <c r="BA316" s="43" t="s">
        <v>71</v>
      </c>
      <c r="BB316" s="43" t="s">
        <v>69</v>
      </c>
      <c r="BC316" s="51">
        <v>31</v>
      </c>
      <c r="BD316" s="43" t="s">
        <v>70</v>
      </c>
      <c r="BE316" s="9">
        <f t="shared" si="12"/>
        <v>307</v>
      </c>
      <c r="BF316" s="9" t="str">
        <f t="shared" si="13"/>
        <v>..</v>
      </c>
    </row>
    <row r="317" spans="1:58" ht="18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1" t="s">
        <v>93</v>
      </c>
      <c r="N317" s="44"/>
      <c r="O317" s="44"/>
      <c r="P317" s="44"/>
      <c r="Q317" s="45"/>
      <c r="R317" s="46"/>
      <c r="S317" s="46"/>
      <c r="T317" s="46"/>
      <c r="U317" s="44" t="s">
        <v>96</v>
      </c>
      <c r="V317" s="46"/>
      <c r="W317" s="44"/>
      <c r="X317" s="44"/>
      <c r="Y317" s="44"/>
      <c r="Z317" s="44"/>
      <c r="AA317" s="44"/>
      <c r="AB317" s="42"/>
      <c r="AC317" s="47" t="s">
        <v>97</v>
      </c>
      <c r="AD317" s="48"/>
      <c r="AE317" s="43"/>
      <c r="AF317" s="43"/>
      <c r="AG317" s="43"/>
      <c r="AH317" s="43"/>
      <c r="AI317" s="55"/>
      <c r="AJ317" s="52"/>
      <c r="AT317" s="52"/>
      <c r="AU317" s="59"/>
      <c r="AV317" s="58"/>
      <c r="AW317" s="58"/>
      <c r="AX317" s="54" t="s">
        <v>69</v>
      </c>
      <c r="AY317" s="43" t="s">
        <v>70</v>
      </c>
      <c r="AZ317" s="43" t="s">
        <v>70</v>
      </c>
      <c r="BA317" s="43" t="s">
        <v>71</v>
      </c>
      <c r="BB317" s="43" t="s">
        <v>69</v>
      </c>
      <c r="BC317" s="51">
        <v>31</v>
      </c>
      <c r="BD317" s="43" t="s">
        <v>70</v>
      </c>
      <c r="BE317" s="9">
        <f t="shared" si="12"/>
        <v>308</v>
      </c>
      <c r="BF317" s="9" t="str">
        <f t="shared" si="13"/>
        <v>..</v>
      </c>
    </row>
    <row r="318" spans="1:58" ht="18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1" t="s">
        <v>93</v>
      </c>
      <c r="N318" s="44"/>
      <c r="O318" s="44"/>
      <c r="P318" s="44"/>
      <c r="Q318" s="45"/>
      <c r="R318" s="46"/>
      <c r="S318" s="46"/>
      <c r="T318" s="46"/>
      <c r="U318" s="44" t="s">
        <v>96</v>
      </c>
      <c r="V318" s="46"/>
      <c r="W318" s="44"/>
      <c r="X318" s="44"/>
      <c r="Y318" s="44"/>
      <c r="Z318" s="44"/>
      <c r="AA318" s="44"/>
      <c r="AB318" s="42"/>
      <c r="AC318" s="47" t="s">
        <v>97</v>
      </c>
      <c r="AD318" s="48"/>
      <c r="AE318" s="43"/>
      <c r="AF318" s="43"/>
      <c r="AG318" s="43"/>
      <c r="AH318" s="43"/>
      <c r="AI318" s="55"/>
      <c r="AJ318" s="52"/>
      <c r="AT318" s="52"/>
      <c r="AU318" s="59"/>
      <c r="AV318" s="58"/>
      <c r="AW318" s="58"/>
      <c r="AX318" s="54" t="s">
        <v>69</v>
      </c>
      <c r="AY318" s="43" t="s">
        <v>70</v>
      </c>
      <c r="AZ318" s="43" t="s">
        <v>70</v>
      </c>
      <c r="BA318" s="43" t="s">
        <v>71</v>
      </c>
      <c r="BB318" s="43" t="s">
        <v>69</v>
      </c>
      <c r="BC318" s="51">
        <v>31</v>
      </c>
      <c r="BD318" s="43" t="s">
        <v>70</v>
      </c>
      <c r="BE318" s="9">
        <f t="shared" si="12"/>
        <v>309</v>
      </c>
      <c r="BF318" s="9" t="str">
        <f t="shared" si="13"/>
        <v>..</v>
      </c>
    </row>
    <row r="319" spans="1:58" ht="18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1" t="s">
        <v>93</v>
      </c>
      <c r="N319" s="44"/>
      <c r="O319" s="44"/>
      <c r="P319" s="44"/>
      <c r="Q319" s="45"/>
      <c r="R319" s="46"/>
      <c r="S319" s="46"/>
      <c r="T319" s="46"/>
      <c r="U319" s="44" t="s">
        <v>96</v>
      </c>
      <c r="V319" s="46"/>
      <c r="W319" s="44"/>
      <c r="X319" s="44"/>
      <c r="Y319" s="44"/>
      <c r="Z319" s="44"/>
      <c r="AA319" s="44"/>
      <c r="AB319" s="42"/>
      <c r="AC319" s="47" t="s">
        <v>97</v>
      </c>
      <c r="AD319" s="48"/>
      <c r="AE319" s="43"/>
      <c r="AF319" s="43"/>
      <c r="AG319" s="43"/>
      <c r="AH319" s="43"/>
      <c r="AI319" s="55"/>
      <c r="AJ319" s="52"/>
      <c r="AT319" s="52"/>
      <c r="AU319" s="59"/>
      <c r="AV319" s="58"/>
      <c r="AW319" s="58"/>
      <c r="AX319" s="54" t="s">
        <v>69</v>
      </c>
      <c r="AY319" s="43" t="s">
        <v>70</v>
      </c>
      <c r="AZ319" s="43" t="s">
        <v>70</v>
      </c>
      <c r="BA319" s="43" t="s">
        <v>71</v>
      </c>
      <c r="BB319" s="43" t="s">
        <v>69</v>
      </c>
      <c r="BC319" s="51">
        <v>31</v>
      </c>
      <c r="BD319" s="43" t="s">
        <v>70</v>
      </c>
      <c r="BE319" s="9">
        <f t="shared" si="12"/>
        <v>310</v>
      </c>
      <c r="BF319" s="9" t="str">
        <f t="shared" si="13"/>
        <v>..</v>
      </c>
    </row>
    <row r="320" spans="1:58" ht="18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1" t="s">
        <v>93</v>
      </c>
      <c r="N320" s="44"/>
      <c r="O320" s="44"/>
      <c r="P320" s="44"/>
      <c r="Q320" s="45"/>
      <c r="R320" s="46"/>
      <c r="S320" s="46"/>
      <c r="T320" s="46"/>
      <c r="U320" s="44" t="s">
        <v>96</v>
      </c>
      <c r="V320" s="46"/>
      <c r="W320" s="44"/>
      <c r="X320" s="44"/>
      <c r="Y320" s="44"/>
      <c r="Z320" s="44"/>
      <c r="AA320" s="44"/>
      <c r="AB320" s="42"/>
      <c r="AC320" s="47" t="s">
        <v>97</v>
      </c>
      <c r="AD320" s="48"/>
      <c r="AE320" s="43"/>
      <c r="AF320" s="43"/>
      <c r="AG320" s="43"/>
      <c r="AH320" s="43"/>
      <c r="AI320" s="55"/>
      <c r="AJ320" s="52"/>
      <c r="AT320" s="52"/>
      <c r="AU320" s="59"/>
      <c r="AV320" s="58"/>
      <c r="AW320" s="58"/>
      <c r="AX320" s="54" t="s">
        <v>69</v>
      </c>
      <c r="AY320" s="43" t="s">
        <v>70</v>
      </c>
      <c r="AZ320" s="43" t="s">
        <v>70</v>
      </c>
      <c r="BA320" s="43" t="s">
        <v>71</v>
      </c>
      <c r="BB320" s="43" t="s">
        <v>69</v>
      </c>
      <c r="BC320" s="51">
        <v>31</v>
      </c>
      <c r="BD320" s="43" t="s">
        <v>70</v>
      </c>
      <c r="BE320" s="9">
        <f t="shared" si="12"/>
        <v>311</v>
      </c>
      <c r="BF320" s="9" t="str">
        <f t="shared" si="13"/>
        <v>..</v>
      </c>
    </row>
    <row r="321" spans="1:58" ht="18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1" t="s">
        <v>93</v>
      </c>
      <c r="N321" s="44"/>
      <c r="O321" s="44"/>
      <c r="P321" s="44"/>
      <c r="Q321" s="45"/>
      <c r="R321" s="46"/>
      <c r="S321" s="46"/>
      <c r="T321" s="46"/>
      <c r="U321" s="44" t="s">
        <v>96</v>
      </c>
      <c r="V321" s="46"/>
      <c r="W321" s="44"/>
      <c r="X321" s="44"/>
      <c r="Y321" s="44"/>
      <c r="Z321" s="44"/>
      <c r="AA321" s="44"/>
      <c r="AB321" s="42"/>
      <c r="AC321" s="47" t="s">
        <v>97</v>
      </c>
      <c r="AD321" s="48"/>
      <c r="AE321" s="43"/>
      <c r="AF321" s="43"/>
      <c r="AG321" s="43"/>
      <c r="AH321" s="43"/>
      <c r="AI321" s="55"/>
      <c r="AJ321" s="52"/>
      <c r="AT321" s="52"/>
      <c r="AU321" s="59"/>
      <c r="AV321" s="58"/>
      <c r="AW321" s="58"/>
      <c r="AX321" s="54" t="s">
        <v>69</v>
      </c>
      <c r="AY321" s="43" t="s">
        <v>70</v>
      </c>
      <c r="AZ321" s="43" t="s">
        <v>70</v>
      </c>
      <c r="BA321" s="43" t="s">
        <v>71</v>
      </c>
      <c r="BB321" s="43" t="s">
        <v>69</v>
      </c>
      <c r="BC321" s="51">
        <v>31</v>
      </c>
      <c r="BD321" s="43" t="s">
        <v>70</v>
      </c>
      <c r="BE321" s="9">
        <f t="shared" si="12"/>
        <v>312</v>
      </c>
      <c r="BF321" s="9" t="str">
        <f t="shared" si="13"/>
        <v>..</v>
      </c>
    </row>
    <row r="322" spans="1:58" ht="18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1" t="s">
        <v>93</v>
      </c>
      <c r="N322" s="44"/>
      <c r="O322" s="44"/>
      <c r="P322" s="44"/>
      <c r="Q322" s="45"/>
      <c r="R322" s="46"/>
      <c r="S322" s="46"/>
      <c r="T322" s="46"/>
      <c r="U322" s="44" t="s">
        <v>96</v>
      </c>
      <c r="V322" s="46"/>
      <c r="W322" s="44"/>
      <c r="X322" s="44"/>
      <c r="Y322" s="44"/>
      <c r="Z322" s="44"/>
      <c r="AA322" s="44"/>
      <c r="AB322" s="42"/>
      <c r="AC322" s="47" t="s">
        <v>97</v>
      </c>
      <c r="AD322" s="48"/>
      <c r="AE322" s="43"/>
      <c r="AF322" s="43"/>
      <c r="AG322" s="43"/>
      <c r="AH322" s="43"/>
      <c r="AI322" s="55"/>
      <c r="AJ322" s="52"/>
      <c r="AT322" s="52"/>
      <c r="AU322" s="59"/>
      <c r="AV322" s="58"/>
      <c r="AW322" s="58"/>
      <c r="AX322" s="54" t="s">
        <v>69</v>
      </c>
      <c r="AY322" s="43" t="s">
        <v>70</v>
      </c>
      <c r="AZ322" s="43" t="s">
        <v>70</v>
      </c>
      <c r="BA322" s="43" t="s">
        <v>71</v>
      </c>
      <c r="BB322" s="43" t="s">
        <v>69</v>
      </c>
      <c r="BC322" s="51">
        <v>31</v>
      </c>
      <c r="BD322" s="43" t="s">
        <v>70</v>
      </c>
      <c r="BE322" s="9">
        <f t="shared" si="12"/>
        <v>313</v>
      </c>
      <c r="BF322" s="9" t="str">
        <f t="shared" si="13"/>
        <v>..</v>
      </c>
    </row>
    <row r="323" spans="1:58" ht="18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1" t="s">
        <v>93</v>
      </c>
      <c r="N323" s="44"/>
      <c r="O323" s="44"/>
      <c r="P323" s="44"/>
      <c r="Q323" s="45"/>
      <c r="R323" s="46"/>
      <c r="S323" s="46"/>
      <c r="T323" s="46"/>
      <c r="U323" s="44" t="s">
        <v>96</v>
      </c>
      <c r="V323" s="46"/>
      <c r="W323" s="44"/>
      <c r="X323" s="44"/>
      <c r="Y323" s="44"/>
      <c r="Z323" s="44"/>
      <c r="AA323" s="44"/>
      <c r="AB323" s="42"/>
      <c r="AC323" s="47" t="s">
        <v>97</v>
      </c>
      <c r="AD323" s="48"/>
      <c r="AE323" s="43"/>
      <c r="AF323" s="43"/>
      <c r="AG323" s="43"/>
      <c r="AH323" s="43"/>
      <c r="AI323" s="55"/>
      <c r="AJ323" s="52"/>
      <c r="AT323" s="52"/>
      <c r="AU323" s="59"/>
      <c r="AV323" s="58"/>
      <c r="AW323" s="58"/>
      <c r="AX323" s="54" t="s">
        <v>69</v>
      </c>
      <c r="AY323" s="43" t="s">
        <v>70</v>
      </c>
      <c r="AZ323" s="43" t="s">
        <v>70</v>
      </c>
      <c r="BA323" s="43" t="s">
        <v>71</v>
      </c>
      <c r="BB323" s="43" t="s">
        <v>69</v>
      </c>
      <c r="BC323" s="51">
        <v>31</v>
      </c>
      <c r="BD323" s="43" t="s">
        <v>70</v>
      </c>
      <c r="BE323" s="9">
        <f t="shared" si="12"/>
        <v>314</v>
      </c>
      <c r="BF323" s="9" t="str">
        <f t="shared" si="13"/>
        <v>..</v>
      </c>
    </row>
    <row r="324" spans="1:58" ht="18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1" t="s">
        <v>93</v>
      </c>
      <c r="N324" s="44"/>
      <c r="O324" s="44"/>
      <c r="P324" s="44"/>
      <c r="Q324" s="45"/>
      <c r="R324" s="46"/>
      <c r="S324" s="46"/>
      <c r="T324" s="46"/>
      <c r="U324" s="44" t="s">
        <v>96</v>
      </c>
      <c r="V324" s="46"/>
      <c r="W324" s="44"/>
      <c r="X324" s="44"/>
      <c r="Y324" s="44"/>
      <c r="Z324" s="44"/>
      <c r="AA324" s="44"/>
      <c r="AB324" s="42"/>
      <c r="AC324" s="47" t="s">
        <v>97</v>
      </c>
      <c r="AD324" s="48"/>
      <c r="AE324" s="43"/>
      <c r="AF324" s="43"/>
      <c r="AG324" s="43"/>
      <c r="AH324" s="43"/>
      <c r="AI324" s="55"/>
      <c r="AJ324" s="52"/>
      <c r="AT324" s="52"/>
      <c r="AU324" s="59"/>
      <c r="AV324" s="58"/>
      <c r="AW324" s="58"/>
      <c r="AX324" s="54" t="s">
        <v>69</v>
      </c>
      <c r="AY324" s="43" t="s">
        <v>70</v>
      </c>
      <c r="AZ324" s="43" t="s">
        <v>70</v>
      </c>
      <c r="BA324" s="43" t="s">
        <v>71</v>
      </c>
      <c r="BB324" s="43" t="s">
        <v>69</v>
      </c>
      <c r="BC324" s="51">
        <v>31</v>
      </c>
      <c r="BD324" s="43" t="s">
        <v>70</v>
      </c>
      <c r="BE324" s="9">
        <f t="shared" si="12"/>
        <v>315</v>
      </c>
      <c r="BF324" s="9" t="str">
        <f t="shared" si="13"/>
        <v>..</v>
      </c>
    </row>
    <row r="325" spans="1:58" ht="18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1" t="s">
        <v>93</v>
      </c>
      <c r="N325" s="44"/>
      <c r="O325" s="44"/>
      <c r="P325" s="44"/>
      <c r="Q325" s="45"/>
      <c r="R325" s="46"/>
      <c r="S325" s="46"/>
      <c r="T325" s="46"/>
      <c r="U325" s="44" t="s">
        <v>96</v>
      </c>
      <c r="V325" s="46"/>
      <c r="W325" s="44"/>
      <c r="X325" s="44"/>
      <c r="Y325" s="44"/>
      <c r="Z325" s="44"/>
      <c r="AA325" s="44"/>
      <c r="AB325" s="42"/>
      <c r="AC325" s="47" t="s">
        <v>97</v>
      </c>
      <c r="AD325" s="48"/>
      <c r="AE325" s="43"/>
      <c r="AF325" s="43"/>
      <c r="AG325" s="43"/>
      <c r="AH325" s="43"/>
      <c r="AI325" s="55"/>
      <c r="AJ325" s="52"/>
      <c r="AT325" s="52"/>
      <c r="AU325" s="59"/>
      <c r="AV325" s="58"/>
      <c r="AW325" s="58"/>
      <c r="AX325" s="54" t="s">
        <v>69</v>
      </c>
      <c r="AY325" s="43" t="s">
        <v>70</v>
      </c>
      <c r="AZ325" s="43" t="s">
        <v>70</v>
      </c>
      <c r="BA325" s="43" t="s">
        <v>71</v>
      </c>
      <c r="BB325" s="43" t="s">
        <v>69</v>
      </c>
      <c r="BC325" s="51">
        <v>31</v>
      </c>
      <c r="BD325" s="43" t="s">
        <v>70</v>
      </c>
      <c r="BE325" s="9">
        <f t="shared" si="12"/>
        <v>316</v>
      </c>
      <c r="BF325" s="9" t="str">
        <f t="shared" si="13"/>
        <v>..</v>
      </c>
    </row>
    <row r="326" spans="1:58" ht="18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1" t="s">
        <v>93</v>
      </c>
      <c r="N326" s="44"/>
      <c r="O326" s="44"/>
      <c r="P326" s="44"/>
      <c r="Q326" s="45"/>
      <c r="R326" s="46"/>
      <c r="S326" s="46"/>
      <c r="T326" s="46"/>
      <c r="U326" s="44" t="s">
        <v>96</v>
      </c>
      <c r="V326" s="46"/>
      <c r="W326" s="44"/>
      <c r="X326" s="44"/>
      <c r="Y326" s="44"/>
      <c r="Z326" s="44"/>
      <c r="AA326" s="44"/>
      <c r="AB326" s="42"/>
      <c r="AC326" s="47" t="s">
        <v>97</v>
      </c>
      <c r="AD326" s="48"/>
      <c r="AE326" s="43"/>
      <c r="AF326" s="43"/>
      <c r="AG326" s="43"/>
      <c r="AH326" s="43"/>
      <c r="AI326" s="55"/>
      <c r="AJ326" s="52"/>
      <c r="AT326" s="52"/>
      <c r="AU326" s="59"/>
      <c r="AV326" s="58"/>
      <c r="AW326" s="58"/>
      <c r="AX326" s="54" t="s">
        <v>69</v>
      </c>
      <c r="AY326" s="43" t="s">
        <v>70</v>
      </c>
      <c r="AZ326" s="43" t="s">
        <v>70</v>
      </c>
      <c r="BA326" s="43" t="s">
        <v>71</v>
      </c>
      <c r="BB326" s="43" t="s">
        <v>69</v>
      </c>
      <c r="BC326" s="51">
        <v>31</v>
      </c>
      <c r="BD326" s="43" t="s">
        <v>70</v>
      </c>
      <c r="BE326" s="9">
        <f t="shared" si="12"/>
        <v>317</v>
      </c>
      <c r="BF326" s="9" t="str">
        <f t="shared" si="13"/>
        <v>..</v>
      </c>
    </row>
    <row r="327" spans="1:58" ht="18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1" t="s">
        <v>93</v>
      </c>
      <c r="N327" s="44"/>
      <c r="O327" s="44"/>
      <c r="P327" s="44"/>
      <c r="Q327" s="45"/>
      <c r="R327" s="46"/>
      <c r="S327" s="46"/>
      <c r="T327" s="46"/>
      <c r="U327" s="44" t="s">
        <v>96</v>
      </c>
      <c r="V327" s="46"/>
      <c r="W327" s="44"/>
      <c r="X327" s="44"/>
      <c r="Y327" s="44"/>
      <c r="Z327" s="44"/>
      <c r="AA327" s="44"/>
      <c r="AB327" s="42"/>
      <c r="AC327" s="47" t="s">
        <v>97</v>
      </c>
      <c r="AD327" s="48"/>
      <c r="AE327" s="43"/>
      <c r="AF327" s="43"/>
      <c r="AG327" s="43"/>
      <c r="AH327" s="43"/>
      <c r="AI327" s="55"/>
      <c r="AJ327" s="52"/>
      <c r="AT327" s="52"/>
      <c r="AU327" s="59"/>
      <c r="AV327" s="58"/>
      <c r="AW327" s="58"/>
      <c r="AX327" s="54" t="s">
        <v>69</v>
      </c>
      <c r="AY327" s="43" t="s">
        <v>70</v>
      </c>
      <c r="AZ327" s="43" t="s">
        <v>70</v>
      </c>
      <c r="BA327" s="43" t="s">
        <v>71</v>
      </c>
      <c r="BB327" s="43" t="s">
        <v>69</v>
      </c>
      <c r="BC327" s="51">
        <v>31</v>
      </c>
      <c r="BD327" s="43" t="s">
        <v>70</v>
      </c>
      <c r="BE327" s="9">
        <f t="shared" si="12"/>
        <v>318</v>
      </c>
      <c r="BF327" s="9" t="str">
        <f t="shared" si="13"/>
        <v>..</v>
      </c>
    </row>
    <row r="328" spans="1:58" ht="18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1" t="s">
        <v>93</v>
      </c>
      <c r="N328" s="44"/>
      <c r="O328" s="44"/>
      <c r="P328" s="44"/>
      <c r="Q328" s="45"/>
      <c r="R328" s="46"/>
      <c r="S328" s="46"/>
      <c r="T328" s="46"/>
      <c r="U328" s="44" t="s">
        <v>96</v>
      </c>
      <c r="V328" s="46"/>
      <c r="W328" s="44"/>
      <c r="X328" s="44"/>
      <c r="Y328" s="44"/>
      <c r="Z328" s="44"/>
      <c r="AA328" s="44"/>
      <c r="AB328" s="42"/>
      <c r="AC328" s="47" t="s">
        <v>97</v>
      </c>
      <c r="AD328" s="48"/>
      <c r="AE328" s="43"/>
      <c r="AF328" s="43"/>
      <c r="AG328" s="43"/>
      <c r="AH328" s="43"/>
      <c r="AI328" s="55"/>
      <c r="AJ328" s="52"/>
      <c r="AT328" s="52"/>
      <c r="AU328" s="59"/>
      <c r="AV328" s="58"/>
      <c r="AW328" s="58"/>
      <c r="AX328" s="54" t="s">
        <v>69</v>
      </c>
      <c r="AY328" s="43" t="s">
        <v>70</v>
      </c>
      <c r="AZ328" s="43" t="s">
        <v>70</v>
      </c>
      <c r="BA328" s="43" t="s">
        <v>71</v>
      </c>
      <c r="BB328" s="43" t="s">
        <v>69</v>
      </c>
      <c r="BC328" s="51">
        <v>31</v>
      </c>
      <c r="BD328" s="43" t="s">
        <v>70</v>
      </c>
      <c r="BE328" s="9">
        <f t="shared" si="12"/>
        <v>319</v>
      </c>
      <c r="BF328" s="9" t="str">
        <f t="shared" si="13"/>
        <v>..</v>
      </c>
    </row>
    <row r="329" spans="1:58" ht="18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1" t="s">
        <v>93</v>
      </c>
      <c r="N329" s="44"/>
      <c r="O329" s="44"/>
      <c r="P329" s="44"/>
      <c r="Q329" s="45"/>
      <c r="R329" s="46"/>
      <c r="S329" s="46"/>
      <c r="T329" s="46"/>
      <c r="U329" s="44" t="s">
        <v>96</v>
      </c>
      <c r="V329" s="46"/>
      <c r="W329" s="44"/>
      <c r="X329" s="44"/>
      <c r="Y329" s="44"/>
      <c r="Z329" s="44"/>
      <c r="AA329" s="44"/>
      <c r="AB329" s="42"/>
      <c r="AC329" s="47" t="s">
        <v>97</v>
      </c>
      <c r="AD329" s="48"/>
      <c r="AE329" s="43"/>
      <c r="AF329" s="43"/>
      <c r="AG329" s="43"/>
      <c r="AH329" s="43"/>
      <c r="AI329" s="55"/>
      <c r="AJ329" s="52"/>
      <c r="AT329" s="52"/>
      <c r="AU329" s="59"/>
      <c r="AV329" s="58"/>
      <c r="AW329" s="58"/>
      <c r="AX329" s="54" t="s">
        <v>69</v>
      </c>
      <c r="AY329" s="43" t="s">
        <v>70</v>
      </c>
      <c r="AZ329" s="43" t="s">
        <v>70</v>
      </c>
      <c r="BA329" s="43" t="s">
        <v>71</v>
      </c>
      <c r="BB329" s="43" t="s">
        <v>69</v>
      </c>
      <c r="BC329" s="51">
        <v>31</v>
      </c>
      <c r="BD329" s="43" t="s">
        <v>70</v>
      </c>
      <c r="BE329" s="9">
        <f t="shared" si="12"/>
        <v>320</v>
      </c>
      <c r="BF329" s="9" t="str">
        <f t="shared" si="13"/>
        <v>..</v>
      </c>
    </row>
    <row r="330" spans="1:58" ht="18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1" t="s">
        <v>93</v>
      </c>
      <c r="N330" s="44"/>
      <c r="O330" s="44"/>
      <c r="P330" s="44"/>
      <c r="Q330" s="45"/>
      <c r="R330" s="46"/>
      <c r="S330" s="46"/>
      <c r="T330" s="46"/>
      <c r="U330" s="44" t="s">
        <v>96</v>
      </c>
      <c r="V330" s="46"/>
      <c r="W330" s="44"/>
      <c r="X330" s="44"/>
      <c r="Y330" s="44"/>
      <c r="Z330" s="44"/>
      <c r="AA330" s="44"/>
      <c r="AB330" s="42"/>
      <c r="AC330" s="47" t="s">
        <v>97</v>
      </c>
      <c r="AD330" s="48"/>
      <c r="AE330" s="43"/>
      <c r="AF330" s="43"/>
      <c r="AG330" s="43"/>
      <c r="AH330" s="43"/>
      <c r="AI330" s="55"/>
      <c r="AJ330" s="52"/>
      <c r="AT330" s="52"/>
      <c r="AU330" s="59"/>
      <c r="AV330" s="58"/>
      <c r="AW330" s="58"/>
      <c r="AX330" s="54" t="s">
        <v>69</v>
      </c>
      <c r="AY330" s="43" t="s">
        <v>70</v>
      </c>
      <c r="AZ330" s="43" t="s">
        <v>70</v>
      </c>
      <c r="BA330" s="43" t="s">
        <v>71</v>
      </c>
      <c r="BB330" s="43" t="s">
        <v>69</v>
      </c>
      <c r="BC330" s="51">
        <v>31</v>
      </c>
      <c r="BD330" s="43" t="s">
        <v>70</v>
      </c>
      <c r="BE330" s="9">
        <f t="shared" si="12"/>
        <v>321</v>
      </c>
      <c r="BF330" s="9" t="str">
        <f t="shared" si="13"/>
        <v>..</v>
      </c>
    </row>
    <row r="331" spans="1:58" ht="18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1" t="s">
        <v>93</v>
      </c>
      <c r="N331" s="44"/>
      <c r="O331" s="44"/>
      <c r="P331" s="44"/>
      <c r="Q331" s="45"/>
      <c r="R331" s="46"/>
      <c r="S331" s="46"/>
      <c r="T331" s="46"/>
      <c r="U331" s="44" t="s">
        <v>96</v>
      </c>
      <c r="V331" s="46"/>
      <c r="W331" s="44"/>
      <c r="X331" s="44"/>
      <c r="Y331" s="44"/>
      <c r="Z331" s="44"/>
      <c r="AA331" s="44"/>
      <c r="AB331" s="42"/>
      <c r="AC331" s="47" t="s">
        <v>97</v>
      </c>
      <c r="AD331" s="48"/>
      <c r="AE331" s="43"/>
      <c r="AF331" s="43"/>
      <c r="AG331" s="43"/>
      <c r="AH331" s="43"/>
      <c r="AI331" s="55"/>
      <c r="AJ331" s="52"/>
      <c r="AT331" s="52"/>
      <c r="AU331" s="59"/>
      <c r="AV331" s="58"/>
      <c r="AW331" s="58"/>
      <c r="AX331" s="54" t="s">
        <v>69</v>
      </c>
      <c r="AY331" s="43" t="s">
        <v>70</v>
      </c>
      <c r="AZ331" s="43" t="s">
        <v>70</v>
      </c>
      <c r="BA331" s="43" t="s">
        <v>71</v>
      </c>
      <c r="BB331" s="43" t="s">
        <v>69</v>
      </c>
      <c r="BC331" s="51">
        <v>31</v>
      </c>
      <c r="BD331" s="43" t="s">
        <v>70</v>
      </c>
      <c r="BE331" s="9">
        <f t="shared" si="12"/>
        <v>322</v>
      </c>
      <c r="BF331" s="9" t="str">
        <f t="shared" si="13"/>
        <v>..</v>
      </c>
    </row>
    <row r="332" spans="1:58" ht="18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1" t="s">
        <v>93</v>
      </c>
      <c r="N332" s="44"/>
      <c r="O332" s="44"/>
      <c r="P332" s="44"/>
      <c r="Q332" s="45"/>
      <c r="R332" s="46"/>
      <c r="S332" s="46"/>
      <c r="T332" s="46"/>
      <c r="U332" s="44" t="s">
        <v>96</v>
      </c>
      <c r="V332" s="46"/>
      <c r="W332" s="44"/>
      <c r="X332" s="44"/>
      <c r="Y332" s="44"/>
      <c r="Z332" s="44"/>
      <c r="AA332" s="44"/>
      <c r="AB332" s="42"/>
      <c r="AC332" s="47" t="s">
        <v>97</v>
      </c>
      <c r="AD332" s="48"/>
      <c r="AE332" s="43"/>
      <c r="AF332" s="43"/>
      <c r="AG332" s="43"/>
      <c r="AH332" s="43"/>
      <c r="AI332" s="55"/>
      <c r="AJ332" s="52"/>
      <c r="AT332" s="52"/>
      <c r="AU332" s="59"/>
      <c r="AV332" s="58"/>
      <c r="AW332" s="58"/>
      <c r="AX332" s="54" t="s">
        <v>69</v>
      </c>
      <c r="AY332" s="43" t="s">
        <v>70</v>
      </c>
      <c r="AZ332" s="43" t="s">
        <v>70</v>
      </c>
      <c r="BA332" s="43" t="s">
        <v>71</v>
      </c>
      <c r="BB332" s="43" t="s">
        <v>69</v>
      </c>
      <c r="BC332" s="51">
        <v>31</v>
      </c>
      <c r="BD332" s="43" t="s">
        <v>70</v>
      </c>
      <c r="BE332" s="9">
        <f t="shared" si="12"/>
        <v>323</v>
      </c>
      <c r="BF332" s="9" t="str">
        <f t="shared" si="13"/>
        <v>..</v>
      </c>
    </row>
    <row r="333" spans="1:58" ht="18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1" t="s">
        <v>93</v>
      </c>
      <c r="N333" s="44"/>
      <c r="O333" s="44"/>
      <c r="P333" s="44"/>
      <c r="Q333" s="45"/>
      <c r="R333" s="46"/>
      <c r="S333" s="46"/>
      <c r="T333" s="46"/>
      <c r="U333" s="44" t="s">
        <v>96</v>
      </c>
      <c r="V333" s="46"/>
      <c r="W333" s="44"/>
      <c r="X333" s="44"/>
      <c r="Y333" s="44"/>
      <c r="Z333" s="44"/>
      <c r="AA333" s="44"/>
      <c r="AB333" s="42"/>
      <c r="AC333" s="47" t="s">
        <v>97</v>
      </c>
      <c r="AD333" s="48"/>
      <c r="AE333" s="43"/>
      <c r="AF333" s="43"/>
      <c r="AG333" s="43"/>
      <c r="AH333" s="43"/>
      <c r="AI333" s="55"/>
      <c r="AJ333" s="52"/>
      <c r="AT333" s="52"/>
      <c r="AU333" s="59"/>
      <c r="AV333" s="58"/>
      <c r="AW333" s="58"/>
      <c r="AX333" s="54" t="s">
        <v>69</v>
      </c>
      <c r="AY333" s="43" t="s">
        <v>70</v>
      </c>
      <c r="AZ333" s="43" t="s">
        <v>70</v>
      </c>
      <c r="BA333" s="43" t="s">
        <v>71</v>
      </c>
      <c r="BB333" s="43" t="s">
        <v>69</v>
      </c>
      <c r="BC333" s="51">
        <v>31</v>
      </c>
      <c r="BD333" s="43" t="s">
        <v>70</v>
      </c>
      <c r="BE333" s="9">
        <f t="shared" si="12"/>
        <v>324</v>
      </c>
      <c r="BF333" s="9" t="str">
        <f t="shared" si="13"/>
        <v>..</v>
      </c>
    </row>
    <row r="334" spans="1:58" ht="18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1" t="s">
        <v>93</v>
      </c>
      <c r="N334" s="44"/>
      <c r="O334" s="44"/>
      <c r="P334" s="44"/>
      <c r="Q334" s="45"/>
      <c r="R334" s="46"/>
      <c r="S334" s="46"/>
      <c r="T334" s="46"/>
      <c r="U334" s="44" t="s">
        <v>96</v>
      </c>
      <c r="V334" s="46"/>
      <c r="W334" s="44"/>
      <c r="X334" s="44"/>
      <c r="Y334" s="44"/>
      <c r="Z334" s="44"/>
      <c r="AA334" s="44"/>
      <c r="AB334" s="42"/>
      <c r="AC334" s="47" t="s">
        <v>97</v>
      </c>
      <c r="AD334" s="48"/>
      <c r="AE334" s="43"/>
      <c r="AF334" s="43"/>
      <c r="AG334" s="43"/>
      <c r="AH334" s="43"/>
      <c r="AI334" s="55"/>
      <c r="AJ334" s="52"/>
      <c r="AT334" s="52"/>
      <c r="AU334" s="59"/>
      <c r="AV334" s="58"/>
      <c r="AW334" s="58"/>
      <c r="AX334" s="54" t="s">
        <v>69</v>
      </c>
      <c r="AY334" s="43" t="s">
        <v>70</v>
      </c>
      <c r="AZ334" s="43" t="s">
        <v>70</v>
      </c>
      <c r="BA334" s="43" t="s">
        <v>71</v>
      </c>
      <c r="BB334" s="43" t="s">
        <v>69</v>
      </c>
      <c r="BC334" s="51">
        <v>31</v>
      </c>
      <c r="BD334" s="43" t="s">
        <v>70</v>
      </c>
      <c r="BE334" s="9">
        <f t="shared" si="12"/>
        <v>325</v>
      </c>
      <c r="BF334" s="9" t="str">
        <f t="shared" si="13"/>
        <v>..</v>
      </c>
    </row>
    <row r="335" spans="1:58" ht="18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1" t="s">
        <v>93</v>
      </c>
      <c r="N335" s="44"/>
      <c r="O335" s="44"/>
      <c r="P335" s="44"/>
      <c r="Q335" s="45"/>
      <c r="R335" s="46"/>
      <c r="S335" s="46"/>
      <c r="T335" s="46"/>
      <c r="U335" s="44" t="s">
        <v>96</v>
      </c>
      <c r="V335" s="46"/>
      <c r="W335" s="44"/>
      <c r="X335" s="44"/>
      <c r="Y335" s="44"/>
      <c r="Z335" s="44"/>
      <c r="AA335" s="44"/>
      <c r="AB335" s="42"/>
      <c r="AC335" s="47" t="s">
        <v>97</v>
      </c>
      <c r="AD335" s="48"/>
      <c r="AE335" s="43"/>
      <c r="AF335" s="43"/>
      <c r="AG335" s="43"/>
      <c r="AH335" s="43"/>
      <c r="AI335" s="55"/>
      <c r="AJ335" s="52"/>
      <c r="AT335" s="52"/>
      <c r="AU335" s="59"/>
      <c r="AV335" s="58"/>
      <c r="AW335" s="58"/>
      <c r="AX335" s="54" t="s">
        <v>69</v>
      </c>
      <c r="AY335" s="43" t="s">
        <v>70</v>
      </c>
      <c r="AZ335" s="43" t="s">
        <v>70</v>
      </c>
      <c r="BA335" s="43" t="s">
        <v>71</v>
      </c>
      <c r="BB335" s="43" t="s">
        <v>69</v>
      </c>
      <c r="BC335" s="51">
        <v>31</v>
      </c>
      <c r="BD335" s="43" t="s">
        <v>70</v>
      </c>
      <c r="BE335" s="9">
        <f t="shared" si="12"/>
        <v>326</v>
      </c>
      <c r="BF335" s="9" t="str">
        <f t="shared" si="13"/>
        <v>..</v>
      </c>
    </row>
    <row r="336" spans="1:58" ht="18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1" t="s">
        <v>93</v>
      </c>
      <c r="N336" s="44"/>
      <c r="O336" s="44"/>
      <c r="P336" s="44"/>
      <c r="Q336" s="45"/>
      <c r="R336" s="46"/>
      <c r="S336" s="46"/>
      <c r="T336" s="46"/>
      <c r="U336" s="44" t="s">
        <v>96</v>
      </c>
      <c r="V336" s="46"/>
      <c r="W336" s="44"/>
      <c r="X336" s="44"/>
      <c r="Y336" s="44"/>
      <c r="Z336" s="44"/>
      <c r="AA336" s="44"/>
      <c r="AB336" s="42"/>
      <c r="AC336" s="47" t="s">
        <v>97</v>
      </c>
      <c r="AD336" s="48"/>
      <c r="AE336" s="43"/>
      <c r="AF336" s="43"/>
      <c r="AG336" s="43"/>
      <c r="AH336" s="43"/>
      <c r="AI336" s="55"/>
      <c r="AJ336" s="52"/>
      <c r="AT336" s="52"/>
      <c r="AU336" s="59"/>
      <c r="AV336" s="58"/>
      <c r="AW336" s="58"/>
      <c r="AX336" s="54" t="s">
        <v>69</v>
      </c>
      <c r="AY336" s="43" t="s">
        <v>70</v>
      </c>
      <c r="AZ336" s="43" t="s">
        <v>70</v>
      </c>
      <c r="BA336" s="43" t="s">
        <v>71</v>
      </c>
      <c r="BB336" s="43" t="s">
        <v>69</v>
      </c>
      <c r="BC336" s="51">
        <v>31</v>
      </c>
      <c r="BD336" s="43" t="s">
        <v>70</v>
      </c>
      <c r="BE336" s="9">
        <f t="shared" ref="BE336:BE399" si="14">ROW()-ROW($BE$9)</f>
        <v>327</v>
      </c>
      <c r="BF336" s="9" t="str">
        <f t="shared" si="13"/>
        <v>..</v>
      </c>
    </row>
    <row r="337" spans="1:58" ht="18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1" t="s">
        <v>93</v>
      </c>
      <c r="N337" s="44"/>
      <c r="O337" s="44"/>
      <c r="P337" s="44"/>
      <c r="Q337" s="45"/>
      <c r="R337" s="46"/>
      <c r="S337" s="46"/>
      <c r="T337" s="46"/>
      <c r="U337" s="44" t="s">
        <v>96</v>
      </c>
      <c r="V337" s="46"/>
      <c r="W337" s="44"/>
      <c r="X337" s="44"/>
      <c r="Y337" s="44"/>
      <c r="Z337" s="44"/>
      <c r="AA337" s="44"/>
      <c r="AB337" s="42"/>
      <c r="AC337" s="47" t="s">
        <v>97</v>
      </c>
      <c r="AD337" s="48"/>
      <c r="AE337" s="43"/>
      <c r="AF337" s="43"/>
      <c r="AG337" s="43"/>
      <c r="AH337" s="43"/>
      <c r="AI337" s="55"/>
      <c r="AJ337" s="52"/>
      <c r="AT337" s="52"/>
      <c r="AU337" s="59"/>
      <c r="AV337" s="58"/>
      <c r="AW337" s="58"/>
      <c r="AX337" s="54" t="s">
        <v>69</v>
      </c>
      <c r="AY337" s="43" t="s">
        <v>70</v>
      </c>
      <c r="AZ337" s="43" t="s">
        <v>70</v>
      </c>
      <c r="BA337" s="43" t="s">
        <v>71</v>
      </c>
      <c r="BB337" s="43" t="s">
        <v>69</v>
      </c>
      <c r="BC337" s="51">
        <v>31</v>
      </c>
      <c r="BD337" s="43" t="s">
        <v>70</v>
      </c>
      <c r="BE337" s="9">
        <f t="shared" si="14"/>
        <v>328</v>
      </c>
      <c r="BF337" s="9" t="str">
        <f t="shared" si="13"/>
        <v>..</v>
      </c>
    </row>
    <row r="338" spans="1:58" ht="18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1" t="s">
        <v>93</v>
      </c>
      <c r="N338" s="44"/>
      <c r="O338" s="44"/>
      <c r="P338" s="44"/>
      <c r="Q338" s="45"/>
      <c r="R338" s="46"/>
      <c r="S338" s="46"/>
      <c r="T338" s="46"/>
      <c r="U338" s="44" t="s">
        <v>96</v>
      </c>
      <c r="V338" s="46"/>
      <c r="W338" s="44"/>
      <c r="X338" s="44"/>
      <c r="Y338" s="44"/>
      <c r="Z338" s="44"/>
      <c r="AA338" s="44"/>
      <c r="AB338" s="42"/>
      <c r="AC338" s="47" t="s">
        <v>97</v>
      </c>
      <c r="AD338" s="48"/>
      <c r="AE338" s="43"/>
      <c r="AF338" s="43"/>
      <c r="AG338" s="43"/>
      <c r="AH338" s="43"/>
      <c r="AI338" s="55"/>
      <c r="AJ338" s="52"/>
      <c r="AT338" s="52"/>
      <c r="AU338" s="59"/>
      <c r="AV338" s="58"/>
      <c r="AW338" s="58"/>
      <c r="AX338" s="54" t="s">
        <v>69</v>
      </c>
      <c r="AY338" s="43" t="s">
        <v>70</v>
      </c>
      <c r="AZ338" s="43" t="s">
        <v>70</v>
      </c>
      <c r="BA338" s="43" t="s">
        <v>71</v>
      </c>
      <c r="BB338" s="43" t="s">
        <v>69</v>
      </c>
      <c r="BC338" s="51">
        <v>31</v>
      </c>
      <c r="BD338" s="43" t="s">
        <v>70</v>
      </c>
      <c r="BE338" s="9">
        <f t="shared" si="14"/>
        <v>329</v>
      </c>
      <c r="BF338" s="9" t="str">
        <f t="shared" si="13"/>
        <v>..</v>
      </c>
    </row>
    <row r="339" spans="1:58" ht="18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1" t="s">
        <v>93</v>
      </c>
      <c r="N339" s="44"/>
      <c r="O339" s="44"/>
      <c r="P339" s="44"/>
      <c r="Q339" s="45"/>
      <c r="R339" s="46"/>
      <c r="S339" s="46"/>
      <c r="T339" s="46"/>
      <c r="U339" s="44" t="s">
        <v>96</v>
      </c>
      <c r="V339" s="46"/>
      <c r="W339" s="44"/>
      <c r="X339" s="44"/>
      <c r="Y339" s="44"/>
      <c r="Z339" s="44"/>
      <c r="AA339" s="44"/>
      <c r="AB339" s="42"/>
      <c r="AC339" s="47" t="s">
        <v>97</v>
      </c>
      <c r="AD339" s="48"/>
      <c r="AE339" s="43"/>
      <c r="AF339" s="43"/>
      <c r="AG339" s="43"/>
      <c r="AH339" s="43"/>
      <c r="AI339" s="55"/>
      <c r="AJ339" s="52"/>
      <c r="AT339" s="52"/>
      <c r="AU339" s="59"/>
      <c r="AV339" s="58"/>
      <c r="AW339" s="58"/>
      <c r="AX339" s="54" t="s">
        <v>69</v>
      </c>
      <c r="AY339" s="43" t="s">
        <v>70</v>
      </c>
      <c r="AZ339" s="43" t="s">
        <v>70</v>
      </c>
      <c r="BA339" s="43" t="s">
        <v>71</v>
      </c>
      <c r="BB339" s="43" t="s">
        <v>69</v>
      </c>
      <c r="BC339" s="51">
        <v>31</v>
      </c>
      <c r="BD339" s="43" t="s">
        <v>70</v>
      </c>
      <c r="BE339" s="9">
        <f t="shared" si="14"/>
        <v>330</v>
      </c>
      <c r="BF339" s="9" t="str">
        <f t="shared" si="13"/>
        <v>..</v>
      </c>
    </row>
    <row r="340" spans="1:58" ht="18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1" t="s">
        <v>93</v>
      </c>
      <c r="N340" s="44"/>
      <c r="O340" s="44"/>
      <c r="P340" s="44"/>
      <c r="Q340" s="45"/>
      <c r="R340" s="46"/>
      <c r="S340" s="46"/>
      <c r="T340" s="46"/>
      <c r="U340" s="44" t="s">
        <v>96</v>
      </c>
      <c r="V340" s="46"/>
      <c r="W340" s="44"/>
      <c r="X340" s="44"/>
      <c r="Y340" s="44"/>
      <c r="Z340" s="44"/>
      <c r="AA340" s="44"/>
      <c r="AB340" s="42"/>
      <c r="AC340" s="47" t="s">
        <v>97</v>
      </c>
      <c r="AD340" s="48"/>
      <c r="AE340" s="43"/>
      <c r="AF340" s="43"/>
      <c r="AG340" s="43"/>
      <c r="AH340" s="43"/>
      <c r="AI340" s="55"/>
      <c r="AJ340" s="52"/>
      <c r="AT340" s="52"/>
      <c r="AU340" s="59"/>
      <c r="AV340" s="58"/>
      <c r="AW340" s="58"/>
      <c r="AX340" s="54" t="s">
        <v>69</v>
      </c>
      <c r="AY340" s="43" t="s">
        <v>70</v>
      </c>
      <c r="AZ340" s="43" t="s">
        <v>70</v>
      </c>
      <c r="BA340" s="43" t="s">
        <v>71</v>
      </c>
      <c r="BB340" s="43" t="s">
        <v>69</v>
      </c>
      <c r="BC340" s="51">
        <v>31</v>
      </c>
      <c r="BD340" s="43" t="s">
        <v>70</v>
      </c>
      <c r="BE340" s="9">
        <f t="shared" si="14"/>
        <v>331</v>
      </c>
      <c r="BF340" s="9" t="str">
        <f t="shared" si="13"/>
        <v>..</v>
      </c>
    </row>
    <row r="341" spans="1:58" ht="18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1" t="s">
        <v>93</v>
      </c>
      <c r="N341" s="44"/>
      <c r="O341" s="44"/>
      <c r="P341" s="44"/>
      <c r="Q341" s="45"/>
      <c r="R341" s="46"/>
      <c r="S341" s="46"/>
      <c r="T341" s="46"/>
      <c r="U341" s="44" t="s">
        <v>96</v>
      </c>
      <c r="V341" s="46"/>
      <c r="W341" s="44"/>
      <c r="X341" s="44"/>
      <c r="Y341" s="44"/>
      <c r="Z341" s="44"/>
      <c r="AA341" s="44"/>
      <c r="AB341" s="42"/>
      <c r="AC341" s="47" t="s">
        <v>97</v>
      </c>
      <c r="AD341" s="48"/>
      <c r="AE341" s="43"/>
      <c r="AF341" s="43"/>
      <c r="AG341" s="43"/>
      <c r="AH341" s="43"/>
      <c r="AI341" s="55"/>
      <c r="AJ341" s="52"/>
      <c r="AT341" s="52"/>
      <c r="AU341" s="59"/>
      <c r="AV341" s="58"/>
      <c r="AW341" s="58"/>
      <c r="AX341" s="54" t="s">
        <v>69</v>
      </c>
      <c r="AY341" s="43" t="s">
        <v>70</v>
      </c>
      <c r="AZ341" s="43" t="s">
        <v>70</v>
      </c>
      <c r="BA341" s="43" t="s">
        <v>71</v>
      </c>
      <c r="BB341" s="43" t="s">
        <v>69</v>
      </c>
      <c r="BC341" s="51">
        <v>31</v>
      </c>
      <c r="BD341" s="43" t="s">
        <v>70</v>
      </c>
      <c r="BE341" s="9">
        <f t="shared" si="14"/>
        <v>332</v>
      </c>
      <c r="BF341" s="9" t="str">
        <f t="shared" si="13"/>
        <v>..</v>
      </c>
    </row>
    <row r="342" spans="1:58" ht="18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1" t="s">
        <v>93</v>
      </c>
      <c r="N342" s="44"/>
      <c r="O342" s="44"/>
      <c r="P342" s="44"/>
      <c r="Q342" s="45"/>
      <c r="R342" s="46"/>
      <c r="S342" s="46"/>
      <c r="T342" s="46"/>
      <c r="U342" s="44" t="s">
        <v>96</v>
      </c>
      <c r="V342" s="46"/>
      <c r="W342" s="44"/>
      <c r="X342" s="44"/>
      <c r="Y342" s="44"/>
      <c r="Z342" s="44"/>
      <c r="AA342" s="44"/>
      <c r="AB342" s="42"/>
      <c r="AC342" s="47" t="s">
        <v>97</v>
      </c>
      <c r="AD342" s="48"/>
      <c r="AE342" s="43"/>
      <c r="AF342" s="43"/>
      <c r="AG342" s="43"/>
      <c r="AH342" s="43"/>
      <c r="AI342" s="55"/>
      <c r="AJ342" s="52"/>
      <c r="AT342" s="52"/>
      <c r="AU342" s="59"/>
      <c r="AV342" s="58"/>
      <c r="AW342" s="58"/>
      <c r="AX342" s="54" t="s">
        <v>69</v>
      </c>
      <c r="AY342" s="43" t="s">
        <v>70</v>
      </c>
      <c r="AZ342" s="43" t="s">
        <v>70</v>
      </c>
      <c r="BA342" s="43" t="s">
        <v>71</v>
      </c>
      <c r="BB342" s="43" t="s">
        <v>69</v>
      </c>
      <c r="BC342" s="51">
        <v>31</v>
      </c>
      <c r="BD342" s="43" t="s">
        <v>70</v>
      </c>
      <c r="BE342" s="9">
        <f t="shared" si="14"/>
        <v>333</v>
      </c>
      <c r="BF342" s="9" t="str">
        <f t="shared" si="13"/>
        <v>..</v>
      </c>
    </row>
    <row r="343" spans="1:58" ht="18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1" t="s">
        <v>93</v>
      </c>
      <c r="N343" s="44"/>
      <c r="O343" s="44"/>
      <c r="P343" s="44"/>
      <c r="Q343" s="45"/>
      <c r="R343" s="46"/>
      <c r="S343" s="46"/>
      <c r="T343" s="46"/>
      <c r="U343" s="44" t="s">
        <v>96</v>
      </c>
      <c r="V343" s="46"/>
      <c r="W343" s="44"/>
      <c r="X343" s="44"/>
      <c r="Y343" s="44"/>
      <c r="Z343" s="44"/>
      <c r="AA343" s="44"/>
      <c r="AB343" s="42"/>
      <c r="AC343" s="47" t="s">
        <v>97</v>
      </c>
      <c r="AD343" s="48"/>
      <c r="AE343" s="43"/>
      <c r="AF343" s="43"/>
      <c r="AG343" s="43"/>
      <c r="AH343" s="43"/>
      <c r="AI343" s="55"/>
      <c r="AJ343" s="52"/>
      <c r="AT343" s="52"/>
      <c r="AU343" s="59"/>
      <c r="AV343" s="58"/>
      <c r="AW343" s="58"/>
      <c r="AX343" s="54" t="s">
        <v>69</v>
      </c>
      <c r="AY343" s="43" t="s">
        <v>70</v>
      </c>
      <c r="AZ343" s="43" t="s">
        <v>70</v>
      </c>
      <c r="BA343" s="43" t="s">
        <v>71</v>
      </c>
      <c r="BB343" s="43" t="s">
        <v>69</v>
      </c>
      <c r="BC343" s="51">
        <v>31</v>
      </c>
      <c r="BD343" s="43" t="s">
        <v>70</v>
      </c>
      <c r="BE343" s="9">
        <f t="shared" si="14"/>
        <v>334</v>
      </c>
      <c r="BF343" s="9" t="str">
        <f t="shared" si="13"/>
        <v>..</v>
      </c>
    </row>
    <row r="344" spans="1:58" ht="18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1" t="s">
        <v>93</v>
      </c>
      <c r="N344" s="44"/>
      <c r="O344" s="44"/>
      <c r="P344" s="44"/>
      <c r="Q344" s="45"/>
      <c r="R344" s="46"/>
      <c r="S344" s="46"/>
      <c r="T344" s="46"/>
      <c r="U344" s="44" t="s">
        <v>96</v>
      </c>
      <c r="V344" s="46"/>
      <c r="W344" s="44"/>
      <c r="X344" s="44"/>
      <c r="Y344" s="44"/>
      <c r="Z344" s="44"/>
      <c r="AA344" s="44"/>
      <c r="AB344" s="42"/>
      <c r="AC344" s="47" t="s">
        <v>97</v>
      </c>
      <c r="AD344" s="48"/>
      <c r="AE344" s="43"/>
      <c r="AF344" s="43"/>
      <c r="AG344" s="43"/>
      <c r="AH344" s="43"/>
      <c r="AI344" s="55"/>
      <c r="AJ344" s="52"/>
      <c r="AT344" s="52"/>
      <c r="AU344" s="59"/>
      <c r="AV344" s="58"/>
      <c r="AW344" s="58"/>
      <c r="AX344" s="54" t="s">
        <v>69</v>
      </c>
      <c r="AY344" s="43" t="s">
        <v>70</v>
      </c>
      <c r="AZ344" s="43" t="s">
        <v>70</v>
      </c>
      <c r="BA344" s="43" t="s">
        <v>71</v>
      </c>
      <c r="BB344" s="43" t="s">
        <v>69</v>
      </c>
      <c r="BC344" s="51">
        <v>31</v>
      </c>
      <c r="BD344" s="43" t="s">
        <v>70</v>
      </c>
      <c r="BE344" s="9">
        <f t="shared" si="14"/>
        <v>335</v>
      </c>
      <c r="BF344" s="9" t="str">
        <f t="shared" si="13"/>
        <v>..</v>
      </c>
    </row>
    <row r="345" spans="1:58" ht="18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1" t="s">
        <v>93</v>
      </c>
      <c r="N345" s="44"/>
      <c r="O345" s="44"/>
      <c r="P345" s="44"/>
      <c r="Q345" s="45"/>
      <c r="R345" s="46"/>
      <c r="S345" s="46"/>
      <c r="T345" s="46"/>
      <c r="U345" s="44" t="s">
        <v>96</v>
      </c>
      <c r="V345" s="46"/>
      <c r="W345" s="44"/>
      <c r="X345" s="44"/>
      <c r="Y345" s="44"/>
      <c r="Z345" s="44"/>
      <c r="AA345" s="44"/>
      <c r="AB345" s="42"/>
      <c r="AC345" s="47" t="s">
        <v>97</v>
      </c>
      <c r="AD345" s="48"/>
      <c r="AE345" s="43"/>
      <c r="AF345" s="43"/>
      <c r="AG345" s="43"/>
      <c r="AH345" s="43"/>
      <c r="AI345" s="55"/>
      <c r="AJ345" s="52"/>
      <c r="AT345" s="52"/>
      <c r="AU345" s="59"/>
      <c r="AV345" s="58"/>
      <c r="AW345" s="58"/>
      <c r="AX345" s="54" t="s">
        <v>69</v>
      </c>
      <c r="AY345" s="43" t="s">
        <v>70</v>
      </c>
      <c r="AZ345" s="43" t="s">
        <v>70</v>
      </c>
      <c r="BA345" s="43" t="s">
        <v>71</v>
      </c>
      <c r="BB345" s="43" t="s">
        <v>69</v>
      </c>
      <c r="BC345" s="51">
        <v>31</v>
      </c>
      <c r="BD345" s="43" t="s">
        <v>70</v>
      </c>
      <c r="BE345" s="9">
        <f t="shared" si="14"/>
        <v>336</v>
      </c>
      <c r="BF345" s="9" t="str">
        <f t="shared" si="13"/>
        <v>..</v>
      </c>
    </row>
    <row r="346" spans="1:58" ht="18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1" t="s">
        <v>93</v>
      </c>
      <c r="N346" s="44"/>
      <c r="O346" s="44"/>
      <c r="P346" s="44"/>
      <c r="Q346" s="45"/>
      <c r="R346" s="46"/>
      <c r="S346" s="46"/>
      <c r="T346" s="46"/>
      <c r="U346" s="44" t="s">
        <v>96</v>
      </c>
      <c r="V346" s="46"/>
      <c r="W346" s="44"/>
      <c r="X346" s="44"/>
      <c r="Y346" s="44"/>
      <c r="Z346" s="44"/>
      <c r="AA346" s="44"/>
      <c r="AB346" s="42"/>
      <c r="AC346" s="47" t="s">
        <v>97</v>
      </c>
      <c r="AD346" s="48"/>
      <c r="AE346" s="43"/>
      <c r="AF346" s="43"/>
      <c r="AG346" s="43"/>
      <c r="AH346" s="43"/>
      <c r="AI346" s="55"/>
      <c r="AJ346" s="52"/>
      <c r="AT346" s="52"/>
      <c r="AU346" s="59"/>
      <c r="AV346" s="58"/>
      <c r="AW346" s="58"/>
      <c r="AX346" s="54" t="s">
        <v>69</v>
      </c>
      <c r="AY346" s="43" t="s">
        <v>70</v>
      </c>
      <c r="AZ346" s="43" t="s">
        <v>70</v>
      </c>
      <c r="BA346" s="43" t="s">
        <v>71</v>
      </c>
      <c r="BB346" s="43" t="s">
        <v>69</v>
      </c>
      <c r="BC346" s="51">
        <v>31</v>
      </c>
      <c r="BD346" s="43" t="s">
        <v>70</v>
      </c>
      <c r="BE346" s="9">
        <f t="shared" si="14"/>
        <v>337</v>
      </c>
      <c r="BF346" s="9" t="str">
        <f t="shared" si="13"/>
        <v>..</v>
      </c>
    </row>
    <row r="347" spans="1:58" ht="18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1" t="s">
        <v>93</v>
      </c>
      <c r="N347" s="44"/>
      <c r="O347" s="44"/>
      <c r="P347" s="44"/>
      <c r="Q347" s="45"/>
      <c r="R347" s="46"/>
      <c r="S347" s="46"/>
      <c r="T347" s="46"/>
      <c r="U347" s="44" t="s">
        <v>96</v>
      </c>
      <c r="V347" s="46"/>
      <c r="W347" s="44"/>
      <c r="X347" s="44"/>
      <c r="Y347" s="44"/>
      <c r="Z347" s="44"/>
      <c r="AA347" s="44"/>
      <c r="AB347" s="42"/>
      <c r="AC347" s="47" t="s">
        <v>97</v>
      </c>
      <c r="AD347" s="48"/>
      <c r="AE347" s="43"/>
      <c r="AF347" s="43"/>
      <c r="AG347" s="43"/>
      <c r="AH347" s="43"/>
      <c r="AI347" s="55"/>
      <c r="AJ347" s="52"/>
      <c r="AT347" s="52"/>
      <c r="AU347" s="59"/>
      <c r="AV347" s="58"/>
      <c r="AW347" s="58"/>
      <c r="AX347" s="54" t="s">
        <v>69</v>
      </c>
      <c r="AY347" s="43" t="s">
        <v>70</v>
      </c>
      <c r="AZ347" s="43" t="s">
        <v>70</v>
      </c>
      <c r="BA347" s="43" t="s">
        <v>71</v>
      </c>
      <c r="BB347" s="43" t="s">
        <v>69</v>
      </c>
      <c r="BC347" s="51">
        <v>31</v>
      </c>
      <c r="BD347" s="43" t="s">
        <v>70</v>
      </c>
      <c r="BE347" s="9">
        <f t="shared" si="14"/>
        <v>338</v>
      </c>
      <c r="BF347" s="9" t="str">
        <f t="shared" si="13"/>
        <v>..</v>
      </c>
    </row>
    <row r="348" spans="1:58" ht="18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1" t="s">
        <v>93</v>
      </c>
      <c r="N348" s="44"/>
      <c r="O348" s="44"/>
      <c r="P348" s="44"/>
      <c r="Q348" s="45"/>
      <c r="R348" s="46"/>
      <c r="S348" s="46"/>
      <c r="T348" s="46"/>
      <c r="U348" s="44" t="s">
        <v>96</v>
      </c>
      <c r="V348" s="46"/>
      <c r="W348" s="44"/>
      <c r="X348" s="44"/>
      <c r="Y348" s="44"/>
      <c r="Z348" s="44"/>
      <c r="AA348" s="44"/>
      <c r="AB348" s="42"/>
      <c r="AC348" s="47" t="s">
        <v>97</v>
      </c>
      <c r="AD348" s="48"/>
      <c r="AE348" s="43"/>
      <c r="AF348" s="43"/>
      <c r="AG348" s="43"/>
      <c r="AH348" s="43"/>
      <c r="AI348" s="55"/>
      <c r="AJ348" s="52"/>
      <c r="AT348" s="52"/>
      <c r="AU348" s="59"/>
      <c r="AV348" s="58"/>
      <c r="AW348" s="58"/>
      <c r="AX348" s="54" t="s">
        <v>69</v>
      </c>
      <c r="AY348" s="43" t="s">
        <v>70</v>
      </c>
      <c r="AZ348" s="43" t="s">
        <v>70</v>
      </c>
      <c r="BA348" s="43" t="s">
        <v>71</v>
      </c>
      <c r="BB348" s="43" t="s">
        <v>69</v>
      </c>
      <c r="BC348" s="51">
        <v>31</v>
      </c>
      <c r="BD348" s="43" t="s">
        <v>70</v>
      </c>
      <c r="BE348" s="9">
        <f t="shared" si="14"/>
        <v>339</v>
      </c>
      <c r="BF348" s="9" t="str">
        <f t="shared" si="13"/>
        <v>..</v>
      </c>
    </row>
    <row r="349" spans="1:58" ht="18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1" t="s">
        <v>93</v>
      </c>
      <c r="N349" s="44"/>
      <c r="O349" s="44"/>
      <c r="P349" s="44"/>
      <c r="Q349" s="45"/>
      <c r="R349" s="46"/>
      <c r="S349" s="46"/>
      <c r="T349" s="46"/>
      <c r="U349" s="44" t="s">
        <v>96</v>
      </c>
      <c r="V349" s="46"/>
      <c r="W349" s="44"/>
      <c r="X349" s="44"/>
      <c r="Y349" s="44"/>
      <c r="Z349" s="44"/>
      <c r="AA349" s="44"/>
      <c r="AB349" s="42"/>
      <c r="AC349" s="47" t="s">
        <v>97</v>
      </c>
      <c r="AD349" s="48"/>
      <c r="AE349" s="43"/>
      <c r="AF349" s="43"/>
      <c r="AG349" s="43"/>
      <c r="AH349" s="43"/>
      <c r="AI349" s="55"/>
      <c r="AJ349" s="52"/>
      <c r="AT349" s="52"/>
      <c r="AU349" s="59"/>
      <c r="AV349" s="58"/>
      <c r="AW349" s="58"/>
      <c r="AX349" s="54" t="s">
        <v>69</v>
      </c>
      <c r="AY349" s="43" t="s">
        <v>70</v>
      </c>
      <c r="AZ349" s="43" t="s">
        <v>70</v>
      </c>
      <c r="BA349" s="43" t="s">
        <v>71</v>
      </c>
      <c r="BB349" s="43" t="s">
        <v>69</v>
      </c>
      <c r="BC349" s="51">
        <v>31</v>
      </c>
      <c r="BD349" s="43" t="s">
        <v>70</v>
      </c>
      <c r="BE349" s="9">
        <f t="shared" si="14"/>
        <v>340</v>
      </c>
      <c r="BF349" s="9" t="str">
        <f t="shared" si="13"/>
        <v>..</v>
      </c>
    </row>
    <row r="350" spans="1:58" ht="18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1" t="s">
        <v>93</v>
      </c>
      <c r="N350" s="44"/>
      <c r="O350" s="44"/>
      <c r="P350" s="44"/>
      <c r="Q350" s="45"/>
      <c r="R350" s="46"/>
      <c r="S350" s="46"/>
      <c r="T350" s="46"/>
      <c r="U350" s="44" t="s">
        <v>96</v>
      </c>
      <c r="V350" s="46"/>
      <c r="W350" s="44"/>
      <c r="X350" s="44"/>
      <c r="Y350" s="44"/>
      <c r="Z350" s="44"/>
      <c r="AA350" s="44"/>
      <c r="AB350" s="42"/>
      <c r="AC350" s="47" t="s">
        <v>97</v>
      </c>
      <c r="AD350" s="48"/>
      <c r="AE350" s="43"/>
      <c r="AF350" s="43"/>
      <c r="AG350" s="43"/>
      <c r="AH350" s="43"/>
      <c r="AI350" s="55"/>
      <c r="AJ350" s="52"/>
      <c r="AT350" s="52"/>
      <c r="AU350" s="59"/>
      <c r="AV350" s="58"/>
      <c r="AW350" s="58"/>
      <c r="AX350" s="54" t="s">
        <v>69</v>
      </c>
      <c r="AY350" s="43" t="s">
        <v>70</v>
      </c>
      <c r="AZ350" s="43" t="s">
        <v>70</v>
      </c>
      <c r="BA350" s="43" t="s">
        <v>71</v>
      </c>
      <c r="BB350" s="43" t="s">
        <v>69</v>
      </c>
      <c r="BC350" s="51">
        <v>31</v>
      </c>
      <c r="BD350" s="43" t="s">
        <v>70</v>
      </c>
      <c r="BE350" s="9">
        <f t="shared" si="14"/>
        <v>341</v>
      </c>
      <c r="BF350" s="9" t="str">
        <f t="shared" si="13"/>
        <v>..</v>
      </c>
    </row>
    <row r="351" spans="1:58" ht="18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1" t="s">
        <v>93</v>
      </c>
      <c r="N351" s="44"/>
      <c r="O351" s="44"/>
      <c r="P351" s="44"/>
      <c r="Q351" s="45"/>
      <c r="R351" s="46"/>
      <c r="S351" s="46"/>
      <c r="T351" s="46"/>
      <c r="U351" s="44" t="s">
        <v>96</v>
      </c>
      <c r="V351" s="46"/>
      <c r="W351" s="44"/>
      <c r="X351" s="44"/>
      <c r="Y351" s="44"/>
      <c r="Z351" s="44"/>
      <c r="AA351" s="44"/>
      <c r="AB351" s="42"/>
      <c r="AC351" s="47" t="s">
        <v>97</v>
      </c>
      <c r="AD351" s="48"/>
      <c r="AE351" s="43"/>
      <c r="AF351" s="43"/>
      <c r="AG351" s="43"/>
      <c r="AH351" s="43"/>
      <c r="AI351" s="55"/>
      <c r="AJ351" s="52"/>
      <c r="AT351" s="52"/>
      <c r="AU351" s="59"/>
      <c r="AV351" s="58"/>
      <c r="AW351" s="58"/>
      <c r="AX351" s="54" t="s">
        <v>69</v>
      </c>
      <c r="AY351" s="43" t="s">
        <v>70</v>
      </c>
      <c r="AZ351" s="43" t="s">
        <v>70</v>
      </c>
      <c r="BA351" s="43" t="s">
        <v>71</v>
      </c>
      <c r="BB351" s="43" t="s">
        <v>69</v>
      </c>
      <c r="BC351" s="51">
        <v>31</v>
      </c>
      <c r="BD351" s="43" t="s">
        <v>70</v>
      </c>
      <c r="BE351" s="9">
        <f t="shared" si="14"/>
        <v>342</v>
      </c>
      <c r="BF351" s="9" t="str">
        <f t="shared" si="13"/>
        <v>..</v>
      </c>
    </row>
    <row r="352" spans="1:58" ht="18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1" t="s">
        <v>93</v>
      </c>
      <c r="N352" s="44"/>
      <c r="O352" s="44"/>
      <c r="P352" s="44"/>
      <c r="Q352" s="45"/>
      <c r="R352" s="46"/>
      <c r="S352" s="46"/>
      <c r="T352" s="46"/>
      <c r="U352" s="44" t="s">
        <v>96</v>
      </c>
      <c r="V352" s="46"/>
      <c r="W352" s="44"/>
      <c r="X352" s="44"/>
      <c r="Y352" s="44"/>
      <c r="Z352" s="44"/>
      <c r="AA352" s="44"/>
      <c r="AB352" s="42"/>
      <c r="AC352" s="47" t="s">
        <v>97</v>
      </c>
      <c r="AD352" s="48"/>
      <c r="AE352" s="43"/>
      <c r="AF352" s="43"/>
      <c r="AG352" s="43"/>
      <c r="AH352" s="43"/>
      <c r="AI352" s="55"/>
      <c r="AJ352" s="52"/>
      <c r="AT352" s="52"/>
      <c r="AU352" s="59"/>
      <c r="AV352" s="58"/>
      <c r="AW352" s="58"/>
      <c r="AX352" s="54" t="s">
        <v>69</v>
      </c>
      <c r="AY352" s="43" t="s">
        <v>70</v>
      </c>
      <c r="AZ352" s="43" t="s">
        <v>70</v>
      </c>
      <c r="BA352" s="43" t="s">
        <v>71</v>
      </c>
      <c r="BB352" s="43" t="s">
        <v>69</v>
      </c>
      <c r="BC352" s="51">
        <v>31</v>
      </c>
      <c r="BD352" s="43" t="s">
        <v>70</v>
      </c>
      <c r="BE352" s="9">
        <f t="shared" si="14"/>
        <v>343</v>
      </c>
      <c r="BF352" s="9" t="str">
        <f t="shared" si="13"/>
        <v>..</v>
      </c>
    </row>
    <row r="353" spans="1:58" ht="18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1" t="s">
        <v>93</v>
      </c>
      <c r="N353" s="44"/>
      <c r="O353" s="44"/>
      <c r="P353" s="44"/>
      <c r="Q353" s="45"/>
      <c r="R353" s="46"/>
      <c r="S353" s="46"/>
      <c r="T353" s="46"/>
      <c r="U353" s="44" t="s">
        <v>96</v>
      </c>
      <c r="V353" s="46"/>
      <c r="W353" s="44"/>
      <c r="X353" s="44"/>
      <c r="Y353" s="44"/>
      <c r="Z353" s="44"/>
      <c r="AA353" s="44"/>
      <c r="AB353" s="42"/>
      <c r="AC353" s="47" t="s">
        <v>97</v>
      </c>
      <c r="AD353" s="48"/>
      <c r="AE353" s="43"/>
      <c r="AF353" s="43"/>
      <c r="AG353" s="43"/>
      <c r="AH353" s="43"/>
      <c r="AI353" s="55"/>
      <c r="AJ353" s="52"/>
      <c r="AT353" s="52"/>
      <c r="AU353" s="59"/>
      <c r="AV353" s="58"/>
      <c r="AW353" s="58"/>
      <c r="AX353" s="54" t="s">
        <v>69</v>
      </c>
      <c r="AY353" s="43" t="s">
        <v>70</v>
      </c>
      <c r="AZ353" s="43" t="s">
        <v>70</v>
      </c>
      <c r="BA353" s="43" t="s">
        <v>71</v>
      </c>
      <c r="BB353" s="43" t="s">
        <v>69</v>
      </c>
      <c r="BC353" s="51">
        <v>31</v>
      </c>
      <c r="BD353" s="43" t="s">
        <v>70</v>
      </c>
      <c r="BE353" s="9">
        <f t="shared" si="14"/>
        <v>344</v>
      </c>
      <c r="BF353" s="9" t="str">
        <f t="shared" si="13"/>
        <v>..</v>
      </c>
    </row>
    <row r="354" spans="1:58" ht="18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1" t="s">
        <v>93</v>
      </c>
      <c r="N354" s="44"/>
      <c r="O354" s="44"/>
      <c r="P354" s="44"/>
      <c r="Q354" s="45"/>
      <c r="R354" s="46"/>
      <c r="S354" s="46"/>
      <c r="T354" s="46"/>
      <c r="U354" s="44" t="s">
        <v>96</v>
      </c>
      <c r="V354" s="46"/>
      <c r="W354" s="44"/>
      <c r="X354" s="44"/>
      <c r="Y354" s="44"/>
      <c r="Z354" s="44"/>
      <c r="AA354" s="44"/>
      <c r="AB354" s="42"/>
      <c r="AC354" s="47" t="s">
        <v>97</v>
      </c>
      <c r="AD354" s="48"/>
      <c r="AE354" s="43"/>
      <c r="AF354" s="43"/>
      <c r="AG354" s="43"/>
      <c r="AH354" s="43"/>
      <c r="AI354" s="55"/>
      <c r="AJ354" s="52"/>
      <c r="AT354" s="52"/>
      <c r="AU354" s="59"/>
      <c r="AV354" s="58"/>
      <c r="AW354" s="58"/>
      <c r="AX354" s="54" t="s">
        <v>69</v>
      </c>
      <c r="AY354" s="43" t="s">
        <v>70</v>
      </c>
      <c r="AZ354" s="43" t="s">
        <v>70</v>
      </c>
      <c r="BA354" s="43" t="s">
        <v>71</v>
      </c>
      <c r="BB354" s="43" t="s">
        <v>69</v>
      </c>
      <c r="BC354" s="51">
        <v>31</v>
      </c>
      <c r="BD354" s="43" t="s">
        <v>70</v>
      </c>
      <c r="BE354" s="9">
        <f t="shared" si="14"/>
        <v>345</v>
      </c>
      <c r="BF354" s="9" t="str">
        <f t="shared" si="13"/>
        <v>..</v>
      </c>
    </row>
    <row r="355" spans="1:58" ht="18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1" t="s">
        <v>93</v>
      </c>
      <c r="N355" s="44"/>
      <c r="O355" s="44"/>
      <c r="P355" s="44"/>
      <c r="Q355" s="45"/>
      <c r="R355" s="46"/>
      <c r="S355" s="46"/>
      <c r="T355" s="46"/>
      <c r="U355" s="44" t="s">
        <v>96</v>
      </c>
      <c r="V355" s="46"/>
      <c r="W355" s="44"/>
      <c r="X355" s="44"/>
      <c r="Y355" s="44"/>
      <c r="Z355" s="44"/>
      <c r="AA355" s="44"/>
      <c r="AB355" s="42"/>
      <c r="AC355" s="47" t="s">
        <v>97</v>
      </c>
      <c r="AD355" s="48"/>
      <c r="AE355" s="43"/>
      <c r="AF355" s="43"/>
      <c r="AG355" s="43"/>
      <c r="AH355" s="43"/>
      <c r="AI355" s="55"/>
      <c r="AJ355" s="52"/>
      <c r="AT355" s="52"/>
      <c r="AU355" s="59"/>
      <c r="AV355" s="58"/>
      <c r="AW355" s="58"/>
      <c r="AX355" s="54" t="s">
        <v>69</v>
      </c>
      <c r="AY355" s="43" t="s">
        <v>70</v>
      </c>
      <c r="AZ355" s="43" t="s">
        <v>70</v>
      </c>
      <c r="BA355" s="43" t="s">
        <v>71</v>
      </c>
      <c r="BB355" s="43" t="s">
        <v>69</v>
      </c>
      <c r="BC355" s="51">
        <v>31</v>
      </c>
      <c r="BD355" s="43" t="s">
        <v>70</v>
      </c>
      <c r="BE355" s="9">
        <f t="shared" si="14"/>
        <v>346</v>
      </c>
      <c r="BF355" s="9" t="str">
        <f t="shared" ref="BF355:BF398" si="15">CONCATENATE(AB355,".",AD355,".",AJ355)</f>
        <v>..</v>
      </c>
    </row>
    <row r="356" spans="1:58" ht="18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1" t="s">
        <v>93</v>
      </c>
      <c r="N356" s="44"/>
      <c r="O356" s="44"/>
      <c r="P356" s="44"/>
      <c r="Q356" s="45"/>
      <c r="R356" s="46"/>
      <c r="S356" s="46"/>
      <c r="T356" s="46"/>
      <c r="U356" s="44" t="s">
        <v>96</v>
      </c>
      <c r="V356" s="46"/>
      <c r="W356" s="44"/>
      <c r="X356" s="44"/>
      <c r="Y356" s="44"/>
      <c r="Z356" s="44"/>
      <c r="AA356" s="44"/>
      <c r="AB356" s="42"/>
      <c r="AC356" s="47" t="s">
        <v>97</v>
      </c>
      <c r="AD356" s="48"/>
      <c r="AE356" s="43"/>
      <c r="AF356" s="43"/>
      <c r="AG356" s="43"/>
      <c r="AH356" s="43"/>
      <c r="AI356" s="55"/>
      <c r="AJ356" s="52"/>
      <c r="AT356" s="52"/>
      <c r="AU356" s="59"/>
      <c r="AV356" s="58"/>
      <c r="AW356" s="58"/>
      <c r="AX356" s="54" t="s">
        <v>69</v>
      </c>
      <c r="AY356" s="43" t="s">
        <v>70</v>
      </c>
      <c r="AZ356" s="43" t="s">
        <v>70</v>
      </c>
      <c r="BA356" s="43" t="s">
        <v>71</v>
      </c>
      <c r="BB356" s="43" t="s">
        <v>69</v>
      </c>
      <c r="BC356" s="51">
        <v>31</v>
      </c>
      <c r="BD356" s="43" t="s">
        <v>70</v>
      </c>
      <c r="BE356" s="9">
        <f t="shared" si="14"/>
        <v>347</v>
      </c>
      <c r="BF356" s="9" t="str">
        <f t="shared" si="15"/>
        <v>..</v>
      </c>
    </row>
    <row r="357" spans="1:58" ht="18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1" t="s">
        <v>93</v>
      </c>
      <c r="N357" s="44"/>
      <c r="O357" s="44"/>
      <c r="P357" s="44"/>
      <c r="Q357" s="45"/>
      <c r="R357" s="46"/>
      <c r="S357" s="46"/>
      <c r="T357" s="46"/>
      <c r="U357" s="44" t="s">
        <v>96</v>
      </c>
      <c r="V357" s="46"/>
      <c r="W357" s="44"/>
      <c r="X357" s="44"/>
      <c r="Y357" s="44"/>
      <c r="Z357" s="44"/>
      <c r="AA357" s="44"/>
      <c r="AB357" s="42"/>
      <c r="AC357" s="47" t="s">
        <v>97</v>
      </c>
      <c r="AD357" s="48"/>
      <c r="AE357" s="43"/>
      <c r="AF357" s="43"/>
      <c r="AG357" s="43"/>
      <c r="AH357" s="43"/>
      <c r="AI357" s="55"/>
      <c r="AJ357" s="52"/>
      <c r="AT357" s="52"/>
      <c r="AU357" s="59"/>
      <c r="AV357" s="58"/>
      <c r="AW357" s="58"/>
      <c r="AX357" s="54" t="s">
        <v>69</v>
      </c>
      <c r="AY357" s="43" t="s">
        <v>70</v>
      </c>
      <c r="AZ357" s="43" t="s">
        <v>70</v>
      </c>
      <c r="BA357" s="43" t="s">
        <v>71</v>
      </c>
      <c r="BB357" s="43" t="s">
        <v>69</v>
      </c>
      <c r="BC357" s="51">
        <v>31</v>
      </c>
      <c r="BD357" s="43" t="s">
        <v>70</v>
      </c>
      <c r="BE357" s="9">
        <f t="shared" si="14"/>
        <v>348</v>
      </c>
      <c r="BF357" s="9" t="str">
        <f t="shared" si="15"/>
        <v>..</v>
      </c>
    </row>
    <row r="358" spans="1:58" ht="18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1" t="s">
        <v>93</v>
      </c>
      <c r="N358" s="44"/>
      <c r="O358" s="44"/>
      <c r="P358" s="44"/>
      <c r="Q358" s="45"/>
      <c r="R358" s="46"/>
      <c r="S358" s="46"/>
      <c r="T358" s="46"/>
      <c r="U358" s="44" t="s">
        <v>96</v>
      </c>
      <c r="V358" s="46"/>
      <c r="W358" s="44"/>
      <c r="X358" s="44"/>
      <c r="Y358" s="44"/>
      <c r="Z358" s="44"/>
      <c r="AA358" s="44"/>
      <c r="AB358" s="42"/>
      <c r="AC358" s="47" t="s">
        <v>97</v>
      </c>
      <c r="AD358" s="48"/>
      <c r="AE358" s="43"/>
      <c r="AF358" s="43"/>
      <c r="AG358" s="43"/>
      <c r="AH358" s="43"/>
      <c r="AI358" s="55"/>
      <c r="AJ358" s="52"/>
      <c r="AT358" s="52"/>
      <c r="AU358" s="59"/>
      <c r="AV358" s="58"/>
      <c r="AW358" s="58"/>
      <c r="AX358" s="54" t="s">
        <v>69</v>
      </c>
      <c r="AY358" s="43" t="s">
        <v>70</v>
      </c>
      <c r="AZ358" s="43" t="s">
        <v>70</v>
      </c>
      <c r="BA358" s="43" t="s">
        <v>71</v>
      </c>
      <c r="BB358" s="43" t="s">
        <v>69</v>
      </c>
      <c r="BC358" s="51">
        <v>31</v>
      </c>
      <c r="BD358" s="43" t="s">
        <v>70</v>
      </c>
      <c r="BE358" s="9">
        <f t="shared" si="14"/>
        <v>349</v>
      </c>
      <c r="BF358" s="9" t="str">
        <f t="shared" si="15"/>
        <v>..</v>
      </c>
    </row>
    <row r="359" spans="1:58" ht="18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1" t="s">
        <v>93</v>
      </c>
      <c r="N359" s="44"/>
      <c r="O359" s="44"/>
      <c r="P359" s="44"/>
      <c r="Q359" s="45"/>
      <c r="R359" s="46"/>
      <c r="S359" s="46"/>
      <c r="T359" s="46"/>
      <c r="U359" s="44" t="s">
        <v>96</v>
      </c>
      <c r="V359" s="46"/>
      <c r="W359" s="44"/>
      <c r="X359" s="44"/>
      <c r="Y359" s="44"/>
      <c r="Z359" s="44"/>
      <c r="AA359" s="44"/>
      <c r="AB359" s="42"/>
      <c r="AC359" s="47" t="s">
        <v>97</v>
      </c>
      <c r="AD359" s="48"/>
      <c r="AE359" s="43"/>
      <c r="AF359" s="43"/>
      <c r="AG359" s="43"/>
      <c r="AH359" s="43"/>
      <c r="AI359" s="55"/>
      <c r="AJ359" s="52"/>
      <c r="AT359" s="52"/>
      <c r="AU359" s="59"/>
      <c r="AV359" s="58"/>
      <c r="AW359" s="58"/>
      <c r="AX359" s="54" t="s">
        <v>69</v>
      </c>
      <c r="AY359" s="43" t="s">
        <v>70</v>
      </c>
      <c r="AZ359" s="43" t="s">
        <v>70</v>
      </c>
      <c r="BA359" s="43" t="s">
        <v>71</v>
      </c>
      <c r="BB359" s="43" t="s">
        <v>69</v>
      </c>
      <c r="BC359" s="51">
        <v>31</v>
      </c>
      <c r="BD359" s="43" t="s">
        <v>70</v>
      </c>
      <c r="BE359" s="9">
        <f t="shared" si="14"/>
        <v>350</v>
      </c>
      <c r="BF359" s="9" t="str">
        <f t="shared" si="15"/>
        <v>..</v>
      </c>
    </row>
    <row r="360" spans="1:58" ht="18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1" t="s">
        <v>93</v>
      </c>
      <c r="N360" s="44"/>
      <c r="O360" s="44"/>
      <c r="P360" s="44"/>
      <c r="Q360" s="45"/>
      <c r="R360" s="46"/>
      <c r="S360" s="46"/>
      <c r="T360" s="46"/>
      <c r="U360" s="44" t="s">
        <v>96</v>
      </c>
      <c r="V360" s="46"/>
      <c r="W360" s="44"/>
      <c r="X360" s="44"/>
      <c r="Y360" s="44"/>
      <c r="Z360" s="44"/>
      <c r="AA360" s="44"/>
      <c r="AB360" s="42"/>
      <c r="AC360" s="47" t="s">
        <v>97</v>
      </c>
      <c r="AD360" s="48"/>
      <c r="AE360" s="43"/>
      <c r="AF360" s="43"/>
      <c r="AG360" s="43"/>
      <c r="AH360" s="43"/>
      <c r="AI360" s="55"/>
      <c r="AJ360" s="52"/>
      <c r="AT360" s="52"/>
      <c r="AU360" s="59"/>
      <c r="AV360" s="58"/>
      <c r="AW360" s="58"/>
      <c r="AX360" s="54" t="s">
        <v>69</v>
      </c>
      <c r="AY360" s="43" t="s">
        <v>70</v>
      </c>
      <c r="AZ360" s="43" t="s">
        <v>70</v>
      </c>
      <c r="BA360" s="43" t="s">
        <v>71</v>
      </c>
      <c r="BB360" s="43" t="s">
        <v>69</v>
      </c>
      <c r="BC360" s="51">
        <v>31</v>
      </c>
      <c r="BD360" s="43" t="s">
        <v>70</v>
      </c>
      <c r="BE360" s="9">
        <f t="shared" si="14"/>
        <v>351</v>
      </c>
      <c r="BF360" s="9" t="str">
        <f t="shared" si="15"/>
        <v>..</v>
      </c>
    </row>
    <row r="361" spans="1:58" ht="18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1" t="s">
        <v>93</v>
      </c>
      <c r="N361" s="44"/>
      <c r="O361" s="44"/>
      <c r="P361" s="44"/>
      <c r="Q361" s="45"/>
      <c r="R361" s="46"/>
      <c r="S361" s="46"/>
      <c r="T361" s="46"/>
      <c r="U361" s="44" t="s">
        <v>96</v>
      </c>
      <c r="V361" s="46"/>
      <c r="W361" s="44"/>
      <c r="X361" s="44"/>
      <c r="Y361" s="44"/>
      <c r="Z361" s="44"/>
      <c r="AA361" s="44"/>
      <c r="AB361" s="42"/>
      <c r="AC361" s="47" t="s">
        <v>97</v>
      </c>
      <c r="AD361" s="48"/>
      <c r="AE361" s="43"/>
      <c r="AF361" s="43"/>
      <c r="AG361" s="43"/>
      <c r="AH361" s="43"/>
      <c r="AI361" s="55"/>
      <c r="AJ361" s="52"/>
      <c r="AT361" s="52"/>
      <c r="AU361" s="59"/>
      <c r="AV361" s="58"/>
      <c r="AW361" s="58"/>
      <c r="AX361" s="54" t="s">
        <v>69</v>
      </c>
      <c r="AY361" s="43" t="s">
        <v>70</v>
      </c>
      <c r="AZ361" s="43" t="s">
        <v>70</v>
      </c>
      <c r="BA361" s="43" t="s">
        <v>71</v>
      </c>
      <c r="BB361" s="43" t="s">
        <v>69</v>
      </c>
      <c r="BC361" s="51">
        <v>31</v>
      </c>
      <c r="BD361" s="43" t="s">
        <v>70</v>
      </c>
      <c r="BE361" s="9">
        <f t="shared" si="14"/>
        <v>352</v>
      </c>
      <c r="BF361" s="9" t="str">
        <f t="shared" si="15"/>
        <v>..</v>
      </c>
    </row>
    <row r="362" spans="1:58" ht="18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1" t="s">
        <v>93</v>
      </c>
      <c r="N362" s="44"/>
      <c r="O362" s="44"/>
      <c r="P362" s="44"/>
      <c r="Q362" s="45"/>
      <c r="R362" s="46"/>
      <c r="S362" s="46"/>
      <c r="T362" s="46"/>
      <c r="U362" s="44" t="s">
        <v>96</v>
      </c>
      <c r="V362" s="46"/>
      <c r="W362" s="44"/>
      <c r="X362" s="44"/>
      <c r="Y362" s="44"/>
      <c r="Z362" s="44"/>
      <c r="AA362" s="44"/>
      <c r="AB362" s="42"/>
      <c r="AC362" s="47" t="s">
        <v>97</v>
      </c>
      <c r="AD362" s="48"/>
      <c r="AE362" s="43"/>
      <c r="AF362" s="43"/>
      <c r="AG362" s="43"/>
      <c r="AH362" s="43"/>
      <c r="AI362" s="55"/>
      <c r="AJ362" s="52"/>
      <c r="AT362" s="52"/>
      <c r="AU362" s="59"/>
      <c r="AV362" s="58"/>
      <c r="AW362" s="58"/>
      <c r="AX362" s="54" t="s">
        <v>69</v>
      </c>
      <c r="AY362" s="43" t="s">
        <v>70</v>
      </c>
      <c r="AZ362" s="43" t="s">
        <v>70</v>
      </c>
      <c r="BA362" s="43" t="s">
        <v>71</v>
      </c>
      <c r="BB362" s="43" t="s">
        <v>69</v>
      </c>
      <c r="BC362" s="51">
        <v>31</v>
      </c>
      <c r="BD362" s="43" t="s">
        <v>70</v>
      </c>
      <c r="BE362" s="9">
        <f t="shared" si="14"/>
        <v>353</v>
      </c>
      <c r="BF362" s="9" t="str">
        <f t="shared" si="15"/>
        <v>..</v>
      </c>
    </row>
    <row r="363" spans="1:58" ht="18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1" t="s">
        <v>93</v>
      </c>
      <c r="N363" s="44"/>
      <c r="O363" s="44"/>
      <c r="P363" s="44"/>
      <c r="Q363" s="45"/>
      <c r="R363" s="46"/>
      <c r="S363" s="46"/>
      <c r="T363" s="46"/>
      <c r="U363" s="44" t="s">
        <v>96</v>
      </c>
      <c r="V363" s="46"/>
      <c r="W363" s="44"/>
      <c r="X363" s="44"/>
      <c r="Y363" s="44"/>
      <c r="Z363" s="44"/>
      <c r="AA363" s="44"/>
      <c r="AB363" s="42"/>
      <c r="AC363" s="47" t="s">
        <v>97</v>
      </c>
      <c r="AD363" s="48"/>
      <c r="AE363" s="43"/>
      <c r="AF363" s="43"/>
      <c r="AG363" s="43"/>
      <c r="AH363" s="43"/>
      <c r="AI363" s="55"/>
      <c r="AJ363" s="52"/>
      <c r="AT363" s="52"/>
      <c r="AU363" s="59"/>
      <c r="AV363" s="58"/>
      <c r="AW363" s="58"/>
      <c r="AX363" s="54" t="s">
        <v>69</v>
      </c>
      <c r="AY363" s="43" t="s">
        <v>70</v>
      </c>
      <c r="AZ363" s="43" t="s">
        <v>70</v>
      </c>
      <c r="BA363" s="43" t="s">
        <v>71</v>
      </c>
      <c r="BB363" s="43" t="s">
        <v>69</v>
      </c>
      <c r="BC363" s="51">
        <v>31</v>
      </c>
      <c r="BD363" s="43" t="s">
        <v>70</v>
      </c>
      <c r="BE363" s="9">
        <f t="shared" si="14"/>
        <v>354</v>
      </c>
      <c r="BF363" s="9" t="str">
        <f t="shared" si="15"/>
        <v>..</v>
      </c>
    </row>
    <row r="364" spans="1:58" ht="18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1" t="s">
        <v>93</v>
      </c>
      <c r="N364" s="44"/>
      <c r="O364" s="44"/>
      <c r="P364" s="44"/>
      <c r="Q364" s="45"/>
      <c r="R364" s="46"/>
      <c r="S364" s="46"/>
      <c r="T364" s="46"/>
      <c r="U364" s="44" t="s">
        <v>96</v>
      </c>
      <c r="V364" s="46"/>
      <c r="W364" s="44"/>
      <c r="X364" s="44"/>
      <c r="Y364" s="44"/>
      <c r="Z364" s="44"/>
      <c r="AA364" s="44"/>
      <c r="AB364" s="42"/>
      <c r="AC364" s="47" t="s">
        <v>97</v>
      </c>
      <c r="AD364" s="48"/>
      <c r="AE364" s="43"/>
      <c r="AF364" s="43"/>
      <c r="AG364" s="43"/>
      <c r="AH364" s="43"/>
      <c r="AI364" s="55"/>
      <c r="AJ364" s="52"/>
      <c r="AT364" s="52"/>
      <c r="AU364" s="59"/>
      <c r="AV364" s="58"/>
      <c r="AW364" s="58"/>
      <c r="AX364" s="54" t="s">
        <v>69</v>
      </c>
      <c r="AY364" s="43" t="s">
        <v>70</v>
      </c>
      <c r="AZ364" s="43" t="s">
        <v>70</v>
      </c>
      <c r="BA364" s="43" t="s">
        <v>71</v>
      </c>
      <c r="BB364" s="43" t="s">
        <v>69</v>
      </c>
      <c r="BC364" s="51">
        <v>31</v>
      </c>
      <c r="BD364" s="43" t="s">
        <v>70</v>
      </c>
      <c r="BE364" s="9">
        <f t="shared" si="14"/>
        <v>355</v>
      </c>
      <c r="BF364" s="9" t="str">
        <f t="shared" si="15"/>
        <v>..</v>
      </c>
    </row>
    <row r="365" spans="1:58" ht="18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1" t="s">
        <v>93</v>
      </c>
      <c r="N365" s="44"/>
      <c r="O365" s="44"/>
      <c r="P365" s="44"/>
      <c r="Q365" s="45"/>
      <c r="R365" s="46"/>
      <c r="S365" s="46"/>
      <c r="T365" s="46"/>
      <c r="U365" s="44" t="s">
        <v>96</v>
      </c>
      <c r="V365" s="46"/>
      <c r="W365" s="44"/>
      <c r="X365" s="44"/>
      <c r="Y365" s="44"/>
      <c r="Z365" s="44"/>
      <c r="AA365" s="44"/>
      <c r="AB365" s="42"/>
      <c r="AC365" s="47" t="s">
        <v>97</v>
      </c>
      <c r="AD365" s="48"/>
      <c r="AE365" s="43"/>
      <c r="AF365" s="43"/>
      <c r="AG365" s="43"/>
      <c r="AH365" s="43"/>
      <c r="AI365" s="55"/>
      <c r="AJ365" s="52"/>
      <c r="AT365" s="52"/>
      <c r="AU365" s="59"/>
      <c r="AV365" s="58"/>
      <c r="AW365" s="58"/>
      <c r="AX365" s="54" t="s">
        <v>69</v>
      </c>
      <c r="AY365" s="43" t="s">
        <v>70</v>
      </c>
      <c r="AZ365" s="43" t="s">
        <v>70</v>
      </c>
      <c r="BA365" s="43" t="s">
        <v>71</v>
      </c>
      <c r="BB365" s="43" t="s">
        <v>69</v>
      </c>
      <c r="BC365" s="51">
        <v>31</v>
      </c>
      <c r="BD365" s="43" t="s">
        <v>70</v>
      </c>
      <c r="BE365" s="9">
        <f t="shared" si="14"/>
        <v>356</v>
      </c>
      <c r="BF365" s="9" t="str">
        <f t="shared" si="15"/>
        <v>..</v>
      </c>
    </row>
    <row r="366" spans="1:58" ht="18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1" t="s">
        <v>93</v>
      </c>
      <c r="N366" s="44"/>
      <c r="O366" s="44"/>
      <c r="P366" s="44"/>
      <c r="Q366" s="45"/>
      <c r="R366" s="46"/>
      <c r="S366" s="46"/>
      <c r="T366" s="46"/>
      <c r="U366" s="44" t="s">
        <v>96</v>
      </c>
      <c r="V366" s="46"/>
      <c r="W366" s="44"/>
      <c r="X366" s="44"/>
      <c r="Y366" s="44"/>
      <c r="Z366" s="44"/>
      <c r="AA366" s="44"/>
      <c r="AB366" s="42"/>
      <c r="AC366" s="47" t="s">
        <v>97</v>
      </c>
      <c r="AD366" s="48"/>
      <c r="AE366" s="43"/>
      <c r="AF366" s="43"/>
      <c r="AG366" s="43"/>
      <c r="AH366" s="43"/>
      <c r="AI366" s="55"/>
      <c r="AJ366" s="52"/>
      <c r="AT366" s="52"/>
      <c r="AU366" s="59"/>
      <c r="AV366" s="58"/>
      <c r="AW366" s="58"/>
      <c r="AX366" s="54" t="s">
        <v>69</v>
      </c>
      <c r="AY366" s="43" t="s">
        <v>70</v>
      </c>
      <c r="AZ366" s="43" t="s">
        <v>70</v>
      </c>
      <c r="BA366" s="43" t="s">
        <v>71</v>
      </c>
      <c r="BB366" s="43" t="s">
        <v>69</v>
      </c>
      <c r="BC366" s="51">
        <v>31</v>
      </c>
      <c r="BD366" s="43" t="s">
        <v>70</v>
      </c>
      <c r="BE366" s="9">
        <f t="shared" si="14"/>
        <v>357</v>
      </c>
      <c r="BF366" s="9" t="str">
        <f t="shared" si="15"/>
        <v>..</v>
      </c>
    </row>
    <row r="367" spans="1:58" ht="18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1" t="s">
        <v>93</v>
      </c>
      <c r="N367" s="44"/>
      <c r="O367" s="44"/>
      <c r="P367" s="44"/>
      <c r="Q367" s="45"/>
      <c r="R367" s="46"/>
      <c r="S367" s="46"/>
      <c r="T367" s="46"/>
      <c r="U367" s="44" t="s">
        <v>96</v>
      </c>
      <c r="V367" s="46"/>
      <c r="W367" s="44"/>
      <c r="X367" s="44"/>
      <c r="Y367" s="44"/>
      <c r="Z367" s="44"/>
      <c r="AA367" s="44"/>
      <c r="AB367" s="42"/>
      <c r="AC367" s="47" t="s">
        <v>97</v>
      </c>
      <c r="AD367" s="48"/>
      <c r="AE367" s="43"/>
      <c r="AF367" s="43"/>
      <c r="AG367" s="43"/>
      <c r="AH367" s="43"/>
      <c r="AI367" s="55"/>
      <c r="AJ367" s="52"/>
      <c r="AT367" s="52"/>
      <c r="AU367" s="59"/>
      <c r="AV367" s="58"/>
      <c r="AW367" s="58"/>
      <c r="AX367" s="54" t="s">
        <v>69</v>
      </c>
      <c r="AY367" s="43" t="s">
        <v>70</v>
      </c>
      <c r="AZ367" s="43" t="s">
        <v>70</v>
      </c>
      <c r="BA367" s="43" t="s">
        <v>71</v>
      </c>
      <c r="BB367" s="43" t="s">
        <v>69</v>
      </c>
      <c r="BC367" s="51">
        <v>31</v>
      </c>
      <c r="BD367" s="43" t="s">
        <v>70</v>
      </c>
      <c r="BE367" s="9">
        <f t="shared" si="14"/>
        <v>358</v>
      </c>
      <c r="BF367" s="9" t="str">
        <f t="shared" si="15"/>
        <v>..</v>
      </c>
    </row>
    <row r="368" spans="1:58" ht="18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1" t="s">
        <v>93</v>
      </c>
      <c r="N368" s="44"/>
      <c r="O368" s="44"/>
      <c r="P368" s="44"/>
      <c r="Q368" s="45"/>
      <c r="R368" s="46"/>
      <c r="S368" s="46"/>
      <c r="T368" s="46"/>
      <c r="U368" s="44" t="s">
        <v>96</v>
      </c>
      <c r="V368" s="46"/>
      <c r="W368" s="44"/>
      <c r="X368" s="44"/>
      <c r="Y368" s="44"/>
      <c r="Z368" s="44"/>
      <c r="AA368" s="44"/>
      <c r="AB368" s="42"/>
      <c r="AC368" s="47" t="s">
        <v>97</v>
      </c>
      <c r="AD368" s="48"/>
      <c r="AE368" s="43"/>
      <c r="AF368" s="43"/>
      <c r="AG368" s="43"/>
      <c r="AH368" s="43"/>
      <c r="AI368" s="55"/>
      <c r="AJ368" s="52"/>
      <c r="AT368" s="52"/>
      <c r="AU368" s="59"/>
      <c r="AV368" s="58"/>
      <c r="AW368" s="58"/>
      <c r="AX368" s="54" t="s">
        <v>69</v>
      </c>
      <c r="AY368" s="43" t="s">
        <v>70</v>
      </c>
      <c r="AZ368" s="43" t="s">
        <v>70</v>
      </c>
      <c r="BA368" s="43" t="s">
        <v>71</v>
      </c>
      <c r="BB368" s="43" t="s">
        <v>69</v>
      </c>
      <c r="BC368" s="51">
        <v>31</v>
      </c>
      <c r="BD368" s="43" t="s">
        <v>70</v>
      </c>
      <c r="BE368" s="9">
        <f t="shared" si="14"/>
        <v>359</v>
      </c>
      <c r="BF368" s="9" t="str">
        <f t="shared" si="15"/>
        <v>..</v>
      </c>
    </row>
    <row r="369" spans="1:58" ht="18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1" t="s">
        <v>93</v>
      </c>
      <c r="N369" s="44"/>
      <c r="O369" s="44"/>
      <c r="P369" s="44"/>
      <c r="Q369" s="45"/>
      <c r="R369" s="46"/>
      <c r="S369" s="46"/>
      <c r="T369" s="46"/>
      <c r="U369" s="44" t="s">
        <v>96</v>
      </c>
      <c r="V369" s="46"/>
      <c r="W369" s="44"/>
      <c r="X369" s="44"/>
      <c r="Y369" s="44"/>
      <c r="Z369" s="44"/>
      <c r="AA369" s="44"/>
      <c r="AB369" s="42"/>
      <c r="AC369" s="47" t="s">
        <v>97</v>
      </c>
      <c r="AD369" s="48"/>
      <c r="AE369" s="43"/>
      <c r="AF369" s="43"/>
      <c r="AG369" s="43"/>
      <c r="AH369" s="43"/>
      <c r="AI369" s="55"/>
      <c r="AJ369" s="52"/>
      <c r="AT369" s="52"/>
      <c r="AU369" s="59"/>
      <c r="AV369" s="58"/>
      <c r="AW369" s="58"/>
      <c r="AX369" s="54" t="s">
        <v>69</v>
      </c>
      <c r="AY369" s="43" t="s">
        <v>70</v>
      </c>
      <c r="AZ369" s="43" t="s">
        <v>70</v>
      </c>
      <c r="BA369" s="43" t="s">
        <v>71</v>
      </c>
      <c r="BB369" s="43" t="s">
        <v>69</v>
      </c>
      <c r="BC369" s="51">
        <v>31</v>
      </c>
      <c r="BD369" s="43" t="s">
        <v>70</v>
      </c>
      <c r="BE369" s="9">
        <f t="shared" si="14"/>
        <v>360</v>
      </c>
      <c r="BF369" s="9" t="str">
        <f t="shared" si="15"/>
        <v>..</v>
      </c>
    </row>
    <row r="370" spans="1:58" ht="18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1" t="s">
        <v>93</v>
      </c>
      <c r="N370" s="44"/>
      <c r="O370" s="44"/>
      <c r="P370" s="44"/>
      <c r="Q370" s="45"/>
      <c r="R370" s="46"/>
      <c r="S370" s="46"/>
      <c r="T370" s="46"/>
      <c r="U370" s="44" t="s">
        <v>96</v>
      </c>
      <c r="V370" s="46"/>
      <c r="W370" s="44"/>
      <c r="X370" s="44"/>
      <c r="Y370" s="44"/>
      <c r="Z370" s="44"/>
      <c r="AA370" s="44"/>
      <c r="AB370" s="42"/>
      <c r="AC370" s="47" t="s">
        <v>97</v>
      </c>
      <c r="AD370" s="48"/>
      <c r="AE370" s="43"/>
      <c r="AF370" s="43"/>
      <c r="AG370" s="43"/>
      <c r="AH370" s="43"/>
      <c r="AI370" s="55"/>
      <c r="AJ370" s="52"/>
      <c r="AT370" s="52"/>
      <c r="AU370" s="59"/>
      <c r="AV370" s="58"/>
      <c r="AW370" s="58"/>
      <c r="AX370" s="54" t="s">
        <v>69</v>
      </c>
      <c r="AY370" s="43" t="s">
        <v>70</v>
      </c>
      <c r="AZ370" s="43" t="s">
        <v>70</v>
      </c>
      <c r="BA370" s="43" t="s">
        <v>71</v>
      </c>
      <c r="BB370" s="43" t="s">
        <v>69</v>
      </c>
      <c r="BC370" s="51">
        <v>31</v>
      </c>
      <c r="BD370" s="43" t="s">
        <v>70</v>
      </c>
      <c r="BE370" s="9">
        <f t="shared" si="14"/>
        <v>361</v>
      </c>
      <c r="BF370" s="9" t="str">
        <f t="shared" si="15"/>
        <v>..</v>
      </c>
    </row>
    <row r="371" spans="1:58" ht="18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1" t="s">
        <v>93</v>
      </c>
      <c r="N371" s="44"/>
      <c r="O371" s="44"/>
      <c r="P371" s="44"/>
      <c r="Q371" s="45"/>
      <c r="R371" s="46"/>
      <c r="S371" s="46"/>
      <c r="T371" s="46"/>
      <c r="U371" s="44" t="s">
        <v>96</v>
      </c>
      <c r="V371" s="46"/>
      <c r="W371" s="44"/>
      <c r="X371" s="44"/>
      <c r="Y371" s="44"/>
      <c r="Z371" s="44"/>
      <c r="AA371" s="44"/>
      <c r="AB371" s="42"/>
      <c r="AC371" s="47" t="s">
        <v>97</v>
      </c>
      <c r="AD371" s="48"/>
      <c r="AE371" s="43"/>
      <c r="AF371" s="43"/>
      <c r="AG371" s="43"/>
      <c r="AH371" s="43"/>
      <c r="AI371" s="55"/>
      <c r="AJ371" s="52"/>
      <c r="AT371" s="52"/>
      <c r="AU371" s="59"/>
      <c r="AV371" s="58"/>
      <c r="AW371" s="58"/>
      <c r="AX371" s="54" t="s">
        <v>69</v>
      </c>
      <c r="AY371" s="43" t="s">
        <v>70</v>
      </c>
      <c r="AZ371" s="43" t="s">
        <v>70</v>
      </c>
      <c r="BA371" s="43" t="s">
        <v>71</v>
      </c>
      <c r="BB371" s="43" t="s">
        <v>69</v>
      </c>
      <c r="BC371" s="51">
        <v>31</v>
      </c>
      <c r="BD371" s="43" t="s">
        <v>70</v>
      </c>
      <c r="BE371" s="9">
        <f t="shared" si="14"/>
        <v>362</v>
      </c>
      <c r="BF371" s="9" t="str">
        <f t="shared" si="15"/>
        <v>..</v>
      </c>
    </row>
    <row r="372" spans="1:58" ht="18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1" t="s">
        <v>93</v>
      </c>
      <c r="N372" s="44"/>
      <c r="O372" s="44"/>
      <c r="P372" s="44"/>
      <c r="Q372" s="45"/>
      <c r="R372" s="46"/>
      <c r="S372" s="46"/>
      <c r="T372" s="46"/>
      <c r="U372" s="44" t="s">
        <v>96</v>
      </c>
      <c r="V372" s="46"/>
      <c r="W372" s="44"/>
      <c r="X372" s="44"/>
      <c r="Y372" s="44"/>
      <c r="Z372" s="44"/>
      <c r="AA372" s="44"/>
      <c r="AB372" s="42"/>
      <c r="AC372" s="47" t="s">
        <v>97</v>
      </c>
      <c r="AD372" s="48"/>
      <c r="AE372" s="43"/>
      <c r="AF372" s="43"/>
      <c r="AG372" s="43"/>
      <c r="AH372" s="43"/>
      <c r="AI372" s="55"/>
      <c r="AJ372" s="52"/>
      <c r="AT372" s="52"/>
      <c r="AU372" s="59"/>
      <c r="AV372" s="58"/>
      <c r="AW372" s="58"/>
      <c r="AX372" s="54" t="s">
        <v>69</v>
      </c>
      <c r="AY372" s="43" t="s">
        <v>70</v>
      </c>
      <c r="AZ372" s="43" t="s">
        <v>70</v>
      </c>
      <c r="BA372" s="43" t="s">
        <v>71</v>
      </c>
      <c r="BB372" s="43" t="s">
        <v>69</v>
      </c>
      <c r="BC372" s="51">
        <v>31</v>
      </c>
      <c r="BD372" s="43" t="s">
        <v>70</v>
      </c>
      <c r="BE372" s="9">
        <f t="shared" si="14"/>
        <v>363</v>
      </c>
      <c r="BF372" s="9" t="str">
        <f t="shared" si="15"/>
        <v>..</v>
      </c>
    </row>
    <row r="373" spans="1:58" ht="18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1" t="s">
        <v>93</v>
      </c>
      <c r="N373" s="44"/>
      <c r="O373" s="44"/>
      <c r="P373" s="44"/>
      <c r="Q373" s="45"/>
      <c r="R373" s="46"/>
      <c r="S373" s="46"/>
      <c r="T373" s="46"/>
      <c r="U373" s="44" t="s">
        <v>96</v>
      </c>
      <c r="V373" s="46"/>
      <c r="W373" s="44"/>
      <c r="X373" s="44"/>
      <c r="Y373" s="44"/>
      <c r="Z373" s="44"/>
      <c r="AA373" s="44"/>
      <c r="AB373" s="42"/>
      <c r="AC373" s="47" t="s">
        <v>97</v>
      </c>
      <c r="AD373" s="48"/>
      <c r="AE373" s="43"/>
      <c r="AF373" s="43"/>
      <c r="AG373" s="43"/>
      <c r="AH373" s="43"/>
      <c r="AI373" s="55"/>
      <c r="AJ373" s="52"/>
      <c r="AT373" s="52"/>
      <c r="AU373" s="59"/>
      <c r="AV373" s="58"/>
      <c r="AW373" s="58"/>
      <c r="AX373" s="54" t="s">
        <v>69</v>
      </c>
      <c r="AY373" s="43" t="s">
        <v>70</v>
      </c>
      <c r="AZ373" s="43" t="s">
        <v>70</v>
      </c>
      <c r="BA373" s="43" t="s">
        <v>71</v>
      </c>
      <c r="BB373" s="43" t="s">
        <v>69</v>
      </c>
      <c r="BC373" s="51">
        <v>31</v>
      </c>
      <c r="BD373" s="43" t="s">
        <v>70</v>
      </c>
      <c r="BE373" s="9">
        <f t="shared" si="14"/>
        <v>364</v>
      </c>
      <c r="BF373" s="9" t="str">
        <f t="shared" si="15"/>
        <v>..</v>
      </c>
    </row>
    <row r="374" spans="1:58" ht="18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1" t="s">
        <v>93</v>
      </c>
      <c r="N374" s="44"/>
      <c r="O374" s="44"/>
      <c r="P374" s="44"/>
      <c r="Q374" s="45"/>
      <c r="R374" s="46"/>
      <c r="S374" s="46"/>
      <c r="T374" s="46"/>
      <c r="U374" s="44" t="s">
        <v>96</v>
      </c>
      <c r="V374" s="46"/>
      <c r="W374" s="44"/>
      <c r="X374" s="44"/>
      <c r="Y374" s="44"/>
      <c r="Z374" s="44"/>
      <c r="AA374" s="44"/>
      <c r="AB374" s="42"/>
      <c r="AC374" s="47" t="s">
        <v>97</v>
      </c>
      <c r="AD374" s="48"/>
      <c r="AE374" s="43"/>
      <c r="AF374" s="43"/>
      <c r="AG374" s="43"/>
      <c r="AH374" s="43"/>
      <c r="AI374" s="55"/>
      <c r="AJ374" s="52"/>
      <c r="AT374" s="52"/>
      <c r="AU374" s="59"/>
      <c r="AV374" s="58"/>
      <c r="AW374" s="58"/>
      <c r="AX374" s="54" t="s">
        <v>69</v>
      </c>
      <c r="AY374" s="43" t="s">
        <v>70</v>
      </c>
      <c r="AZ374" s="43" t="s">
        <v>70</v>
      </c>
      <c r="BA374" s="43" t="s">
        <v>71</v>
      </c>
      <c r="BB374" s="43" t="s">
        <v>69</v>
      </c>
      <c r="BC374" s="51">
        <v>31</v>
      </c>
      <c r="BD374" s="43" t="s">
        <v>70</v>
      </c>
      <c r="BE374" s="9">
        <f t="shared" si="14"/>
        <v>365</v>
      </c>
      <c r="BF374" s="9" t="str">
        <f t="shared" si="15"/>
        <v>..</v>
      </c>
    </row>
    <row r="375" spans="1:58" ht="18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1" t="s">
        <v>93</v>
      </c>
      <c r="N375" s="44"/>
      <c r="O375" s="44"/>
      <c r="P375" s="44"/>
      <c r="Q375" s="45"/>
      <c r="R375" s="46"/>
      <c r="S375" s="46"/>
      <c r="T375" s="46"/>
      <c r="U375" s="44" t="s">
        <v>96</v>
      </c>
      <c r="V375" s="46"/>
      <c r="W375" s="44"/>
      <c r="X375" s="44"/>
      <c r="Y375" s="44"/>
      <c r="Z375" s="44"/>
      <c r="AA375" s="44"/>
      <c r="AB375" s="42"/>
      <c r="AC375" s="47" t="s">
        <v>97</v>
      </c>
      <c r="AD375" s="48"/>
      <c r="AE375" s="43"/>
      <c r="AF375" s="43"/>
      <c r="AG375" s="43"/>
      <c r="AH375" s="43"/>
      <c r="AI375" s="55"/>
      <c r="AJ375" s="52"/>
      <c r="AT375" s="52"/>
      <c r="AU375" s="59"/>
      <c r="AV375" s="58"/>
      <c r="AW375" s="58"/>
      <c r="AX375" s="54" t="s">
        <v>69</v>
      </c>
      <c r="AY375" s="43" t="s">
        <v>70</v>
      </c>
      <c r="AZ375" s="43" t="s">
        <v>70</v>
      </c>
      <c r="BA375" s="43" t="s">
        <v>71</v>
      </c>
      <c r="BB375" s="43" t="s">
        <v>69</v>
      </c>
      <c r="BC375" s="51">
        <v>31</v>
      </c>
      <c r="BD375" s="43" t="s">
        <v>70</v>
      </c>
      <c r="BE375" s="9">
        <f t="shared" si="14"/>
        <v>366</v>
      </c>
      <c r="BF375" s="9" t="str">
        <f t="shared" si="15"/>
        <v>..</v>
      </c>
    </row>
    <row r="376" spans="1:58" ht="18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1" t="s">
        <v>93</v>
      </c>
      <c r="N376" s="44"/>
      <c r="O376" s="44"/>
      <c r="P376" s="44"/>
      <c r="Q376" s="45"/>
      <c r="R376" s="46"/>
      <c r="S376" s="46"/>
      <c r="T376" s="46"/>
      <c r="U376" s="44" t="s">
        <v>96</v>
      </c>
      <c r="V376" s="46"/>
      <c r="W376" s="44"/>
      <c r="X376" s="44"/>
      <c r="Y376" s="44"/>
      <c r="Z376" s="44"/>
      <c r="AA376" s="44"/>
      <c r="AB376" s="42"/>
      <c r="AC376" s="47" t="s">
        <v>97</v>
      </c>
      <c r="AD376" s="48"/>
      <c r="AE376" s="43"/>
      <c r="AF376" s="43"/>
      <c r="AG376" s="43"/>
      <c r="AH376" s="43"/>
      <c r="AI376" s="55"/>
      <c r="AJ376" s="52"/>
      <c r="AT376" s="52"/>
      <c r="AU376" s="59"/>
      <c r="AV376" s="58"/>
      <c r="AW376" s="58"/>
      <c r="AX376" s="54" t="s">
        <v>69</v>
      </c>
      <c r="AY376" s="43" t="s">
        <v>70</v>
      </c>
      <c r="AZ376" s="43" t="s">
        <v>70</v>
      </c>
      <c r="BA376" s="43" t="s">
        <v>71</v>
      </c>
      <c r="BB376" s="43" t="s">
        <v>69</v>
      </c>
      <c r="BC376" s="51">
        <v>31</v>
      </c>
      <c r="BD376" s="43" t="s">
        <v>70</v>
      </c>
      <c r="BE376" s="9">
        <f t="shared" si="14"/>
        <v>367</v>
      </c>
      <c r="BF376" s="9" t="str">
        <f t="shared" si="15"/>
        <v>..</v>
      </c>
    </row>
    <row r="377" spans="1:58" ht="18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1" t="s">
        <v>93</v>
      </c>
      <c r="N377" s="44"/>
      <c r="O377" s="44"/>
      <c r="P377" s="44"/>
      <c r="Q377" s="45"/>
      <c r="R377" s="46"/>
      <c r="S377" s="46"/>
      <c r="T377" s="46"/>
      <c r="U377" s="44" t="s">
        <v>96</v>
      </c>
      <c r="V377" s="46"/>
      <c r="W377" s="44"/>
      <c r="X377" s="44"/>
      <c r="Y377" s="44"/>
      <c r="Z377" s="44"/>
      <c r="AA377" s="44"/>
      <c r="AB377" s="42"/>
      <c r="AC377" s="47" t="s">
        <v>97</v>
      </c>
      <c r="AD377" s="48"/>
      <c r="AE377" s="43"/>
      <c r="AF377" s="43"/>
      <c r="AG377" s="43"/>
      <c r="AH377" s="43"/>
      <c r="AI377" s="55"/>
      <c r="AJ377" s="52"/>
      <c r="AT377" s="52"/>
      <c r="AU377" s="59"/>
      <c r="AV377" s="58"/>
      <c r="AW377" s="58"/>
      <c r="AX377" s="54" t="s">
        <v>69</v>
      </c>
      <c r="AY377" s="43" t="s">
        <v>70</v>
      </c>
      <c r="AZ377" s="43" t="s">
        <v>70</v>
      </c>
      <c r="BA377" s="43" t="s">
        <v>71</v>
      </c>
      <c r="BB377" s="43" t="s">
        <v>69</v>
      </c>
      <c r="BC377" s="51">
        <v>31</v>
      </c>
      <c r="BD377" s="43" t="s">
        <v>70</v>
      </c>
      <c r="BE377" s="9">
        <f t="shared" si="14"/>
        <v>368</v>
      </c>
      <c r="BF377" s="9" t="str">
        <f t="shared" si="15"/>
        <v>..</v>
      </c>
    </row>
    <row r="378" spans="1:58" ht="18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1" t="s">
        <v>93</v>
      </c>
      <c r="N378" s="44"/>
      <c r="O378" s="44"/>
      <c r="P378" s="44"/>
      <c r="Q378" s="45"/>
      <c r="R378" s="46"/>
      <c r="S378" s="46"/>
      <c r="T378" s="46"/>
      <c r="U378" s="44" t="s">
        <v>96</v>
      </c>
      <c r="V378" s="46"/>
      <c r="W378" s="44"/>
      <c r="X378" s="44"/>
      <c r="Y378" s="44"/>
      <c r="Z378" s="44"/>
      <c r="AA378" s="44"/>
      <c r="AB378" s="42"/>
      <c r="AC378" s="47" t="s">
        <v>97</v>
      </c>
      <c r="AD378" s="48"/>
      <c r="AE378" s="43"/>
      <c r="AF378" s="43"/>
      <c r="AG378" s="43"/>
      <c r="AH378" s="43"/>
      <c r="AI378" s="55"/>
      <c r="AJ378" s="52"/>
      <c r="AT378" s="52"/>
      <c r="AU378" s="59"/>
      <c r="AV378" s="58"/>
      <c r="AW378" s="58"/>
      <c r="AX378" s="54" t="s">
        <v>69</v>
      </c>
      <c r="AY378" s="43" t="s">
        <v>70</v>
      </c>
      <c r="AZ378" s="43" t="s">
        <v>70</v>
      </c>
      <c r="BA378" s="43" t="s">
        <v>71</v>
      </c>
      <c r="BB378" s="43" t="s">
        <v>69</v>
      </c>
      <c r="BC378" s="51">
        <v>31</v>
      </c>
      <c r="BD378" s="43" t="s">
        <v>70</v>
      </c>
      <c r="BE378" s="9">
        <f t="shared" si="14"/>
        <v>369</v>
      </c>
      <c r="BF378" s="9" t="str">
        <f t="shared" si="15"/>
        <v>..</v>
      </c>
    </row>
    <row r="379" spans="1:58" ht="18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1" t="s">
        <v>93</v>
      </c>
      <c r="N379" s="44"/>
      <c r="O379" s="44"/>
      <c r="P379" s="44"/>
      <c r="Q379" s="45"/>
      <c r="R379" s="46"/>
      <c r="S379" s="46"/>
      <c r="T379" s="46"/>
      <c r="U379" s="44" t="s">
        <v>96</v>
      </c>
      <c r="V379" s="46"/>
      <c r="W379" s="44"/>
      <c r="X379" s="44"/>
      <c r="Y379" s="44"/>
      <c r="Z379" s="44"/>
      <c r="AA379" s="44"/>
      <c r="AB379" s="42"/>
      <c r="AC379" s="47" t="s">
        <v>97</v>
      </c>
      <c r="AD379" s="48"/>
      <c r="AE379" s="43"/>
      <c r="AF379" s="43"/>
      <c r="AG379" s="43"/>
      <c r="AH379" s="43"/>
      <c r="AI379" s="55"/>
      <c r="AJ379" s="52"/>
      <c r="AT379" s="52"/>
      <c r="AU379" s="59"/>
      <c r="AV379" s="58"/>
      <c r="AW379" s="58"/>
      <c r="AX379" s="54" t="s">
        <v>69</v>
      </c>
      <c r="AY379" s="43" t="s">
        <v>70</v>
      </c>
      <c r="AZ379" s="43" t="s">
        <v>70</v>
      </c>
      <c r="BA379" s="43" t="s">
        <v>71</v>
      </c>
      <c r="BB379" s="43" t="s">
        <v>69</v>
      </c>
      <c r="BC379" s="51">
        <v>31</v>
      </c>
      <c r="BD379" s="43" t="s">
        <v>70</v>
      </c>
      <c r="BE379" s="9">
        <f t="shared" si="14"/>
        <v>370</v>
      </c>
      <c r="BF379" s="9" t="str">
        <f t="shared" si="15"/>
        <v>..</v>
      </c>
    </row>
    <row r="380" spans="1:58" ht="18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1" t="s">
        <v>93</v>
      </c>
      <c r="N380" s="44"/>
      <c r="O380" s="44"/>
      <c r="P380" s="44"/>
      <c r="Q380" s="45"/>
      <c r="R380" s="46"/>
      <c r="S380" s="46"/>
      <c r="T380" s="46"/>
      <c r="U380" s="44" t="s">
        <v>96</v>
      </c>
      <c r="V380" s="46"/>
      <c r="W380" s="44"/>
      <c r="X380" s="44"/>
      <c r="Y380" s="44"/>
      <c r="Z380" s="44"/>
      <c r="AA380" s="44"/>
      <c r="AB380" s="42"/>
      <c r="AC380" s="47" t="s">
        <v>97</v>
      </c>
      <c r="AD380" s="48"/>
      <c r="AE380" s="43"/>
      <c r="AF380" s="43"/>
      <c r="AG380" s="43"/>
      <c r="AH380" s="43"/>
      <c r="AI380" s="55"/>
      <c r="AJ380" s="52"/>
      <c r="AT380" s="52"/>
      <c r="AU380" s="59"/>
      <c r="AV380" s="58"/>
      <c r="AW380" s="58"/>
      <c r="AX380" s="54" t="s">
        <v>69</v>
      </c>
      <c r="AY380" s="43" t="s">
        <v>70</v>
      </c>
      <c r="AZ380" s="43" t="s">
        <v>70</v>
      </c>
      <c r="BA380" s="43" t="s">
        <v>71</v>
      </c>
      <c r="BB380" s="43" t="s">
        <v>69</v>
      </c>
      <c r="BC380" s="51">
        <v>31</v>
      </c>
      <c r="BD380" s="43" t="s">
        <v>70</v>
      </c>
      <c r="BE380" s="9">
        <f t="shared" si="14"/>
        <v>371</v>
      </c>
      <c r="BF380" s="9" t="str">
        <f t="shared" si="15"/>
        <v>..</v>
      </c>
    </row>
    <row r="381" spans="1:58" ht="18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1" t="s">
        <v>93</v>
      </c>
      <c r="N381" s="44"/>
      <c r="O381" s="44"/>
      <c r="P381" s="44"/>
      <c r="Q381" s="45"/>
      <c r="R381" s="46"/>
      <c r="S381" s="46"/>
      <c r="T381" s="46"/>
      <c r="U381" s="44" t="s">
        <v>96</v>
      </c>
      <c r="V381" s="46"/>
      <c r="W381" s="44"/>
      <c r="X381" s="44"/>
      <c r="Y381" s="44"/>
      <c r="Z381" s="44"/>
      <c r="AA381" s="44"/>
      <c r="AB381" s="42"/>
      <c r="AC381" s="47" t="s">
        <v>97</v>
      </c>
      <c r="AD381" s="48"/>
      <c r="AE381" s="43"/>
      <c r="AF381" s="43"/>
      <c r="AG381" s="43"/>
      <c r="AH381" s="43"/>
      <c r="AI381" s="55"/>
      <c r="AJ381" s="52"/>
      <c r="AT381" s="52"/>
      <c r="AU381" s="59"/>
      <c r="AV381" s="58"/>
      <c r="AW381" s="58"/>
      <c r="AX381" s="54" t="s">
        <v>69</v>
      </c>
      <c r="AY381" s="43" t="s">
        <v>70</v>
      </c>
      <c r="AZ381" s="43" t="s">
        <v>70</v>
      </c>
      <c r="BA381" s="43" t="s">
        <v>71</v>
      </c>
      <c r="BB381" s="43" t="s">
        <v>69</v>
      </c>
      <c r="BC381" s="51">
        <v>31</v>
      </c>
      <c r="BD381" s="43" t="s">
        <v>70</v>
      </c>
      <c r="BE381" s="9">
        <f t="shared" si="14"/>
        <v>372</v>
      </c>
      <c r="BF381" s="9" t="str">
        <f t="shared" si="15"/>
        <v>..</v>
      </c>
    </row>
    <row r="382" spans="1:58" ht="18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1" t="s">
        <v>93</v>
      </c>
      <c r="N382" s="44"/>
      <c r="O382" s="44"/>
      <c r="P382" s="44"/>
      <c r="Q382" s="45"/>
      <c r="R382" s="46"/>
      <c r="S382" s="46"/>
      <c r="T382" s="46"/>
      <c r="U382" s="44" t="s">
        <v>96</v>
      </c>
      <c r="V382" s="46"/>
      <c r="W382" s="44"/>
      <c r="X382" s="44"/>
      <c r="Y382" s="44"/>
      <c r="Z382" s="44"/>
      <c r="AA382" s="44"/>
      <c r="AB382" s="42"/>
      <c r="AC382" s="47" t="s">
        <v>97</v>
      </c>
      <c r="AD382" s="48"/>
      <c r="AE382" s="43"/>
      <c r="AF382" s="43"/>
      <c r="AG382" s="43"/>
      <c r="AH382" s="43"/>
      <c r="AI382" s="55"/>
      <c r="AJ382" s="52"/>
      <c r="AT382" s="52"/>
      <c r="AU382" s="59"/>
      <c r="AV382" s="58"/>
      <c r="AW382" s="58"/>
      <c r="AX382" s="54" t="s">
        <v>69</v>
      </c>
      <c r="AY382" s="43" t="s">
        <v>70</v>
      </c>
      <c r="AZ382" s="43" t="s">
        <v>70</v>
      </c>
      <c r="BA382" s="43" t="s">
        <v>71</v>
      </c>
      <c r="BB382" s="43" t="s">
        <v>69</v>
      </c>
      <c r="BC382" s="51">
        <v>31</v>
      </c>
      <c r="BD382" s="43" t="s">
        <v>70</v>
      </c>
      <c r="BE382" s="9">
        <f t="shared" si="14"/>
        <v>373</v>
      </c>
      <c r="BF382" s="9" t="str">
        <f t="shared" si="15"/>
        <v>..</v>
      </c>
    </row>
    <row r="383" spans="1:58" ht="18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1" t="s">
        <v>93</v>
      </c>
      <c r="N383" s="44"/>
      <c r="O383" s="44"/>
      <c r="P383" s="44"/>
      <c r="Q383" s="45"/>
      <c r="R383" s="46"/>
      <c r="S383" s="46"/>
      <c r="T383" s="46"/>
      <c r="U383" s="44" t="s">
        <v>96</v>
      </c>
      <c r="V383" s="46"/>
      <c r="W383" s="44"/>
      <c r="X383" s="44"/>
      <c r="Y383" s="44"/>
      <c r="Z383" s="44"/>
      <c r="AA383" s="44"/>
      <c r="AB383" s="42"/>
      <c r="AC383" s="47" t="s">
        <v>97</v>
      </c>
      <c r="AD383" s="48"/>
      <c r="AE383" s="43"/>
      <c r="AF383" s="43"/>
      <c r="AG383" s="43"/>
      <c r="AH383" s="43"/>
      <c r="AI383" s="55"/>
      <c r="AJ383" s="52"/>
      <c r="AT383" s="52"/>
      <c r="AU383" s="59"/>
      <c r="AV383" s="58"/>
      <c r="AW383" s="58"/>
      <c r="AX383" s="54" t="s">
        <v>69</v>
      </c>
      <c r="AY383" s="43" t="s">
        <v>70</v>
      </c>
      <c r="AZ383" s="43" t="s">
        <v>70</v>
      </c>
      <c r="BA383" s="43" t="s">
        <v>71</v>
      </c>
      <c r="BB383" s="43" t="s">
        <v>69</v>
      </c>
      <c r="BC383" s="51">
        <v>31</v>
      </c>
      <c r="BD383" s="43" t="s">
        <v>70</v>
      </c>
      <c r="BE383" s="9">
        <f t="shared" si="14"/>
        <v>374</v>
      </c>
      <c r="BF383" s="9" t="str">
        <f t="shared" si="15"/>
        <v>..</v>
      </c>
    </row>
    <row r="384" spans="1:58" ht="18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1" t="s">
        <v>93</v>
      </c>
      <c r="N384" s="44"/>
      <c r="O384" s="44"/>
      <c r="P384" s="44"/>
      <c r="Q384" s="45"/>
      <c r="R384" s="46"/>
      <c r="S384" s="46"/>
      <c r="T384" s="46"/>
      <c r="U384" s="44" t="s">
        <v>96</v>
      </c>
      <c r="V384" s="46"/>
      <c r="W384" s="44"/>
      <c r="X384" s="44"/>
      <c r="Y384" s="44"/>
      <c r="Z384" s="44"/>
      <c r="AA384" s="44"/>
      <c r="AB384" s="42"/>
      <c r="AC384" s="47" t="s">
        <v>97</v>
      </c>
      <c r="AD384" s="48"/>
      <c r="AE384" s="43"/>
      <c r="AF384" s="43"/>
      <c r="AG384" s="43"/>
      <c r="AH384" s="43"/>
      <c r="AI384" s="55"/>
      <c r="AJ384" s="52"/>
      <c r="AT384" s="52"/>
      <c r="AU384" s="59"/>
      <c r="AV384" s="58"/>
      <c r="AW384" s="58"/>
      <c r="AX384" s="54" t="s">
        <v>69</v>
      </c>
      <c r="AY384" s="43" t="s">
        <v>70</v>
      </c>
      <c r="AZ384" s="43" t="s">
        <v>70</v>
      </c>
      <c r="BA384" s="43" t="s">
        <v>71</v>
      </c>
      <c r="BB384" s="43" t="s">
        <v>69</v>
      </c>
      <c r="BC384" s="51">
        <v>31</v>
      </c>
      <c r="BD384" s="43" t="s">
        <v>70</v>
      </c>
      <c r="BE384" s="9">
        <f t="shared" si="14"/>
        <v>375</v>
      </c>
      <c r="BF384" s="9" t="str">
        <f t="shared" si="15"/>
        <v>..</v>
      </c>
    </row>
    <row r="385" spans="1:58" ht="18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1" t="s">
        <v>93</v>
      </c>
      <c r="N385" s="44"/>
      <c r="O385" s="44"/>
      <c r="P385" s="44"/>
      <c r="Q385" s="45"/>
      <c r="R385" s="46"/>
      <c r="S385" s="46"/>
      <c r="T385" s="46"/>
      <c r="U385" s="44" t="s">
        <v>96</v>
      </c>
      <c r="V385" s="46"/>
      <c r="W385" s="44"/>
      <c r="X385" s="44"/>
      <c r="Y385" s="44"/>
      <c r="Z385" s="44"/>
      <c r="AA385" s="44"/>
      <c r="AB385" s="42"/>
      <c r="AC385" s="47" t="s">
        <v>97</v>
      </c>
      <c r="AD385" s="48"/>
      <c r="AE385" s="43"/>
      <c r="AF385" s="43"/>
      <c r="AG385" s="43"/>
      <c r="AH385" s="43"/>
      <c r="AI385" s="55"/>
      <c r="AJ385" s="52"/>
      <c r="AT385" s="52"/>
      <c r="AU385" s="59"/>
      <c r="AV385" s="58"/>
      <c r="AW385" s="58"/>
      <c r="AX385" s="54" t="s">
        <v>69</v>
      </c>
      <c r="AY385" s="43" t="s">
        <v>70</v>
      </c>
      <c r="AZ385" s="43" t="s">
        <v>70</v>
      </c>
      <c r="BA385" s="43" t="s">
        <v>71</v>
      </c>
      <c r="BB385" s="43" t="s">
        <v>69</v>
      </c>
      <c r="BC385" s="51">
        <v>31</v>
      </c>
      <c r="BD385" s="43" t="s">
        <v>70</v>
      </c>
      <c r="BE385" s="9">
        <f t="shared" si="14"/>
        <v>376</v>
      </c>
      <c r="BF385" s="9" t="str">
        <f t="shared" si="15"/>
        <v>..</v>
      </c>
    </row>
    <row r="386" spans="1:58" ht="18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1" t="s">
        <v>93</v>
      </c>
      <c r="N386" s="44"/>
      <c r="O386" s="44"/>
      <c r="P386" s="44"/>
      <c r="Q386" s="45"/>
      <c r="R386" s="46"/>
      <c r="S386" s="46"/>
      <c r="T386" s="46"/>
      <c r="U386" s="44" t="s">
        <v>96</v>
      </c>
      <c r="V386" s="46"/>
      <c r="W386" s="44"/>
      <c r="X386" s="44"/>
      <c r="Y386" s="44"/>
      <c r="Z386" s="44"/>
      <c r="AA386" s="44"/>
      <c r="AB386" s="42"/>
      <c r="AC386" s="47" t="s">
        <v>97</v>
      </c>
      <c r="AD386" s="48"/>
      <c r="AE386" s="43"/>
      <c r="AF386" s="43"/>
      <c r="AG386" s="43"/>
      <c r="AH386" s="43"/>
      <c r="AI386" s="55"/>
      <c r="AJ386" s="52"/>
      <c r="AT386" s="52"/>
      <c r="AU386" s="59"/>
      <c r="AV386" s="58"/>
      <c r="AW386" s="58"/>
      <c r="AX386" s="54" t="s">
        <v>69</v>
      </c>
      <c r="AY386" s="43" t="s">
        <v>70</v>
      </c>
      <c r="AZ386" s="43" t="s">
        <v>70</v>
      </c>
      <c r="BA386" s="43" t="s">
        <v>71</v>
      </c>
      <c r="BB386" s="43" t="s">
        <v>69</v>
      </c>
      <c r="BC386" s="51">
        <v>31</v>
      </c>
      <c r="BD386" s="43" t="s">
        <v>70</v>
      </c>
      <c r="BE386" s="9">
        <f t="shared" si="14"/>
        <v>377</v>
      </c>
      <c r="BF386" s="9" t="str">
        <f t="shared" si="15"/>
        <v>..</v>
      </c>
    </row>
    <row r="387" spans="1:58" ht="18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1" t="s">
        <v>93</v>
      </c>
      <c r="N387" s="44"/>
      <c r="O387" s="44"/>
      <c r="P387" s="44"/>
      <c r="Q387" s="45"/>
      <c r="R387" s="46"/>
      <c r="S387" s="46"/>
      <c r="T387" s="46"/>
      <c r="U387" s="44" t="s">
        <v>96</v>
      </c>
      <c r="V387" s="46"/>
      <c r="W387" s="44"/>
      <c r="X387" s="44"/>
      <c r="Y387" s="44"/>
      <c r="Z387" s="44"/>
      <c r="AA387" s="44"/>
      <c r="AB387" s="42"/>
      <c r="AC387" s="47" t="s">
        <v>97</v>
      </c>
      <c r="AD387" s="48"/>
      <c r="AE387" s="43"/>
      <c r="AF387" s="43"/>
      <c r="AG387" s="43"/>
      <c r="AH387" s="43"/>
      <c r="AI387" s="55"/>
      <c r="AJ387" s="52"/>
      <c r="AT387" s="52"/>
      <c r="AU387" s="59"/>
      <c r="AV387" s="58"/>
      <c r="AW387" s="58"/>
      <c r="AX387" s="54" t="s">
        <v>69</v>
      </c>
      <c r="AY387" s="43" t="s">
        <v>70</v>
      </c>
      <c r="AZ387" s="43" t="s">
        <v>70</v>
      </c>
      <c r="BA387" s="43" t="s">
        <v>71</v>
      </c>
      <c r="BB387" s="43" t="s">
        <v>69</v>
      </c>
      <c r="BC387" s="51">
        <v>31</v>
      </c>
      <c r="BD387" s="43" t="s">
        <v>70</v>
      </c>
      <c r="BE387" s="9">
        <f t="shared" si="14"/>
        <v>378</v>
      </c>
      <c r="BF387" s="9" t="str">
        <f t="shared" si="15"/>
        <v>..</v>
      </c>
    </row>
    <row r="388" spans="1:58" ht="18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1" t="s">
        <v>93</v>
      </c>
      <c r="N388" s="44"/>
      <c r="O388" s="44"/>
      <c r="P388" s="44"/>
      <c r="Q388" s="45"/>
      <c r="R388" s="46"/>
      <c r="S388" s="46"/>
      <c r="T388" s="46"/>
      <c r="U388" s="44" t="s">
        <v>96</v>
      </c>
      <c r="V388" s="46"/>
      <c r="W388" s="44"/>
      <c r="X388" s="44"/>
      <c r="Y388" s="44"/>
      <c r="Z388" s="44"/>
      <c r="AA388" s="44"/>
      <c r="AB388" s="42"/>
      <c r="AC388" s="47" t="s">
        <v>97</v>
      </c>
      <c r="AD388" s="48"/>
      <c r="AE388" s="43"/>
      <c r="AF388" s="43"/>
      <c r="AG388" s="43"/>
      <c r="AH388" s="43"/>
      <c r="AI388" s="55"/>
      <c r="AJ388" s="52"/>
      <c r="AT388" s="52"/>
      <c r="AU388" s="59"/>
      <c r="AV388" s="58"/>
      <c r="AW388" s="58"/>
      <c r="AX388" s="54" t="s">
        <v>69</v>
      </c>
      <c r="AY388" s="43" t="s">
        <v>70</v>
      </c>
      <c r="AZ388" s="43" t="s">
        <v>70</v>
      </c>
      <c r="BA388" s="43" t="s">
        <v>71</v>
      </c>
      <c r="BB388" s="43" t="s">
        <v>69</v>
      </c>
      <c r="BC388" s="51">
        <v>31</v>
      </c>
      <c r="BD388" s="43" t="s">
        <v>70</v>
      </c>
      <c r="BE388" s="9">
        <f t="shared" si="14"/>
        <v>379</v>
      </c>
      <c r="BF388" s="9" t="str">
        <f t="shared" si="15"/>
        <v>..</v>
      </c>
    </row>
    <row r="389" spans="1:58" ht="18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1" t="s">
        <v>93</v>
      </c>
      <c r="N389" s="44"/>
      <c r="O389" s="44"/>
      <c r="P389" s="44"/>
      <c r="Q389" s="45"/>
      <c r="R389" s="46"/>
      <c r="S389" s="46"/>
      <c r="T389" s="46"/>
      <c r="U389" s="44" t="s">
        <v>96</v>
      </c>
      <c r="V389" s="46"/>
      <c r="W389" s="44"/>
      <c r="X389" s="44"/>
      <c r="Y389" s="44"/>
      <c r="Z389" s="44"/>
      <c r="AA389" s="44"/>
      <c r="AB389" s="42"/>
      <c r="AC389" s="47" t="s">
        <v>97</v>
      </c>
      <c r="AD389" s="48"/>
      <c r="AE389" s="43"/>
      <c r="AF389" s="43"/>
      <c r="AG389" s="43"/>
      <c r="AH389" s="43"/>
      <c r="AI389" s="55"/>
      <c r="AJ389" s="52"/>
      <c r="AT389" s="52"/>
      <c r="AU389" s="59"/>
      <c r="AV389" s="58"/>
      <c r="AW389" s="58"/>
      <c r="AX389" s="54" t="s">
        <v>69</v>
      </c>
      <c r="AY389" s="43" t="s">
        <v>70</v>
      </c>
      <c r="AZ389" s="43" t="s">
        <v>70</v>
      </c>
      <c r="BA389" s="43" t="s">
        <v>71</v>
      </c>
      <c r="BB389" s="43" t="s">
        <v>69</v>
      </c>
      <c r="BC389" s="51">
        <v>31</v>
      </c>
      <c r="BD389" s="43" t="s">
        <v>70</v>
      </c>
      <c r="BE389" s="9">
        <f t="shared" si="14"/>
        <v>380</v>
      </c>
      <c r="BF389" s="9" t="str">
        <f t="shared" si="15"/>
        <v>..</v>
      </c>
    </row>
    <row r="390" spans="1:58" ht="18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1" t="s">
        <v>93</v>
      </c>
      <c r="N390" s="44"/>
      <c r="O390" s="44"/>
      <c r="P390" s="44"/>
      <c r="Q390" s="45"/>
      <c r="R390" s="46"/>
      <c r="S390" s="46"/>
      <c r="T390" s="46"/>
      <c r="U390" s="44" t="s">
        <v>96</v>
      </c>
      <c r="V390" s="46"/>
      <c r="W390" s="44"/>
      <c r="X390" s="44"/>
      <c r="Y390" s="44"/>
      <c r="Z390" s="44"/>
      <c r="AA390" s="44"/>
      <c r="AB390" s="42"/>
      <c r="AC390" s="47" t="s">
        <v>97</v>
      </c>
      <c r="AD390" s="48"/>
      <c r="AE390" s="43"/>
      <c r="AF390" s="43"/>
      <c r="AG390" s="43"/>
      <c r="AH390" s="43"/>
      <c r="AI390" s="55"/>
      <c r="AJ390" s="52"/>
      <c r="AT390" s="52"/>
      <c r="AU390" s="59"/>
      <c r="AV390" s="58"/>
      <c r="AW390" s="58"/>
      <c r="AX390" s="54" t="s">
        <v>69</v>
      </c>
      <c r="AY390" s="43" t="s">
        <v>70</v>
      </c>
      <c r="AZ390" s="43" t="s">
        <v>70</v>
      </c>
      <c r="BA390" s="43" t="s">
        <v>71</v>
      </c>
      <c r="BB390" s="43" t="s">
        <v>69</v>
      </c>
      <c r="BC390" s="51">
        <v>31</v>
      </c>
      <c r="BD390" s="43" t="s">
        <v>70</v>
      </c>
      <c r="BE390" s="9">
        <f t="shared" si="14"/>
        <v>381</v>
      </c>
      <c r="BF390" s="9" t="str">
        <f t="shared" si="15"/>
        <v>..</v>
      </c>
    </row>
    <row r="391" spans="1:58" ht="18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1" t="s">
        <v>93</v>
      </c>
      <c r="N391" s="44"/>
      <c r="O391" s="44"/>
      <c r="P391" s="44"/>
      <c r="Q391" s="45"/>
      <c r="R391" s="46"/>
      <c r="S391" s="46"/>
      <c r="T391" s="46"/>
      <c r="U391" s="44" t="s">
        <v>96</v>
      </c>
      <c r="V391" s="46"/>
      <c r="W391" s="44"/>
      <c r="X391" s="44"/>
      <c r="Y391" s="44"/>
      <c r="Z391" s="44"/>
      <c r="AA391" s="44"/>
      <c r="AB391" s="42"/>
      <c r="AC391" s="47" t="s">
        <v>97</v>
      </c>
      <c r="AD391" s="48"/>
      <c r="AE391" s="43"/>
      <c r="AF391" s="43"/>
      <c r="AG391" s="43"/>
      <c r="AH391" s="43"/>
      <c r="AI391" s="55"/>
      <c r="AJ391" s="52"/>
      <c r="AT391" s="52"/>
      <c r="AU391" s="59"/>
      <c r="AV391" s="58"/>
      <c r="AW391" s="58"/>
      <c r="AX391" s="54" t="s">
        <v>69</v>
      </c>
      <c r="AY391" s="43" t="s">
        <v>70</v>
      </c>
      <c r="AZ391" s="43" t="s">
        <v>70</v>
      </c>
      <c r="BA391" s="43" t="s">
        <v>71</v>
      </c>
      <c r="BB391" s="43" t="s">
        <v>69</v>
      </c>
      <c r="BC391" s="51">
        <v>31</v>
      </c>
      <c r="BD391" s="43" t="s">
        <v>70</v>
      </c>
      <c r="BE391" s="9">
        <f t="shared" si="14"/>
        <v>382</v>
      </c>
      <c r="BF391" s="9" t="str">
        <f t="shared" si="15"/>
        <v>..</v>
      </c>
    </row>
    <row r="392" spans="1:58" ht="18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1" t="s">
        <v>93</v>
      </c>
      <c r="N392" s="44"/>
      <c r="O392" s="44"/>
      <c r="P392" s="44"/>
      <c r="Q392" s="45"/>
      <c r="R392" s="46"/>
      <c r="S392" s="46"/>
      <c r="T392" s="46"/>
      <c r="U392" s="44" t="s">
        <v>96</v>
      </c>
      <c r="V392" s="46"/>
      <c r="W392" s="44"/>
      <c r="X392" s="44"/>
      <c r="Y392" s="44"/>
      <c r="Z392" s="44"/>
      <c r="AA392" s="44"/>
      <c r="AB392" s="42"/>
      <c r="AC392" s="47" t="s">
        <v>97</v>
      </c>
      <c r="AD392" s="48"/>
      <c r="AE392" s="43"/>
      <c r="AF392" s="43"/>
      <c r="AG392" s="43"/>
      <c r="AH392" s="43"/>
      <c r="AI392" s="55"/>
      <c r="AJ392" s="52"/>
      <c r="AT392" s="52"/>
      <c r="AU392" s="59"/>
      <c r="AV392" s="58"/>
      <c r="AW392" s="58"/>
      <c r="AX392" s="54" t="s">
        <v>69</v>
      </c>
      <c r="AY392" s="43" t="s">
        <v>70</v>
      </c>
      <c r="AZ392" s="43" t="s">
        <v>70</v>
      </c>
      <c r="BA392" s="43" t="s">
        <v>71</v>
      </c>
      <c r="BB392" s="43" t="s">
        <v>69</v>
      </c>
      <c r="BC392" s="51">
        <v>31</v>
      </c>
      <c r="BD392" s="43" t="s">
        <v>70</v>
      </c>
      <c r="BE392" s="9">
        <f t="shared" si="14"/>
        <v>383</v>
      </c>
      <c r="BF392" s="9" t="str">
        <f t="shared" si="15"/>
        <v>..</v>
      </c>
    </row>
    <row r="393" spans="1:58" ht="18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1" t="s">
        <v>93</v>
      </c>
      <c r="N393" s="44"/>
      <c r="O393" s="44"/>
      <c r="P393" s="44"/>
      <c r="Q393" s="45"/>
      <c r="R393" s="46"/>
      <c r="S393" s="46"/>
      <c r="T393" s="46"/>
      <c r="U393" s="44" t="s">
        <v>96</v>
      </c>
      <c r="V393" s="46"/>
      <c r="W393" s="44"/>
      <c r="X393" s="44"/>
      <c r="Y393" s="44"/>
      <c r="Z393" s="44"/>
      <c r="AA393" s="44"/>
      <c r="AB393" s="42"/>
      <c r="AC393" s="47" t="s">
        <v>97</v>
      </c>
      <c r="AD393" s="48"/>
      <c r="AE393" s="43"/>
      <c r="AF393" s="43"/>
      <c r="AG393" s="43"/>
      <c r="AH393" s="43"/>
      <c r="AI393" s="55"/>
      <c r="AJ393" s="52"/>
      <c r="AT393" s="52"/>
      <c r="AU393" s="59"/>
      <c r="AV393" s="58"/>
      <c r="AW393" s="58"/>
      <c r="AX393" s="54" t="s">
        <v>69</v>
      </c>
      <c r="AY393" s="43" t="s">
        <v>70</v>
      </c>
      <c r="AZ393" s="43" t="s">
        <v>70</v>
      </c>
      <c r="BA393" s="43" t="s">
        <v>71</v>
      </c>
      <c r="BB393" s="43" t="s">
        <v>69</v>
      </c>
      <c r="BC393" s="51">
        <v>31</v>
      </c>
      <c r="BD393" s="43" t="s">
        <v>70</v>
      </c>
      <c r="BE393" s="9">
        <f t="shared" si="14"/>
        <v>384</v>
      </c>
      <c r="BF393" s="9" t="str">
        <f t="shared" si="15"/>
        <v>..</v>
      </c>
    </row>
    <row r="394" spans="1:58" ht="18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1" t="s">
        <v>93</v>
      </c>
      <c r="N394" s="44"/>
      <c r="O394" s="44"/>
      <c r="P394" s="44"/>
      <c r="Q394" s="45"/>
      <c r="R394" s="46"/>
      <c r="S394" s="46"/>
      <c r="T394" s="46"/>
      <c r="U394" s="44" t="s">
        <v>96</v>
      </c>
      <c r="V394" s="46"/>
      <c r="W394" s="44"/>
      <c r="X394" s="44"/>
      <c r="Y394" s="44"/>
      <c r="Z394" s="44"/>
      <c r="AA394" s="44"/>
      <c r="AB394" s="42"/>
      <c r="AC394" s="47" t="s">
        <v>97</v>
      </c>
      <c r="AD394" s="48"/>
      <c r="AE394" s="43"/>
      <c r="AF394" s="43"/>
      <c r="AG394" s="43"/>
      <c r="AH394" s="43"/>
      <c r="AI394" s="55"/>
      <c r="AJ394" s="52"/>
      <c r="AT394" s="52"/>
      <c r="AU394" s="59"/>
      <c r="AV394" s="58"/>
      <c r="AW394" s="58"/>
      <c r="AX394" s="54" t="s">
        <v>69</v>
      </c>
      <c r="AY394" s="43" t="s">
        <v>70</v>
      </c>
      <c r="AZ394" s="43" t="s">
        <v>70</v>
      </c>
      <c r="BA394" s="43" t="s">
        <v>71</v>
      </c>
      <c r="BB394" s="43" t="s">
        <v>69</v>
      </c>
      <c r="BC394" s="51">
        <v>31</v>
      </c>
      <c r="BD394" s="43" t="s">
        <v>70</v>
      </c>
      <c r="BE394" s="9">
        <f t="shared" si="14"/>
        <v>385</v>
      </c>
      <c r="BF394" s="9" t="str">
        <f t="shared" si="15"/>
        <v>..</v>
      </c>
    </row>
    <row r="395" spans="1:58" ht="18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1" t="s">
        <v>93</v>
      </c>
      <c r="N395" s="44"/>
      <c r="O395" s="44"/>
      <c r="P395" s="44"/>
      <c r="Q395" s="45"/>
      <c r="R395" s="46"/>
      <c r="S395" s="46"/>
      <c r="T395" s="46"/>
      <c r="U395" s="44" t="s">
        <v>96</v>
      </c>
      <c r="V395" s="46"/>
      <c r="W395" s="44"/>
      <c r="X395" s="44"/>
      <c r="Y395" s="44"/>
      <c r="Z395" s="44"/>
      <c r="AA395" s="44"/>
      <c r="AB395" s="42"/>
      <c r="AC395" s="47" t="s">
        <v>97</v>
      </c>
      <c r="AD395" s="48"/>
      <c r="AE395" s="43"/>
      <c r="AF395" s="43"/>
      <c r="AG395" s="43"/>
      <c r="AH395" s="43"/>
      <c r="AI395" s="55"/>
      <c r="AJ395" s="52"/>
      <c r="AT395" s="52"/>
      <c r="AU395" s="59"/>
      <c r="AV395" s="58"/>
      <c r="AW395" s="58"/>
      <c r="AX395" s="54" t="s">
        <v>69</v>
      </c>
      <c r="AY395" s="43" t="s">
        <v>70</v>
      </c>
      <c r="AZ395" s="43" t="s">
        <v>70</v>
      </c>
      <c r="BA395" s="43" t="s">
        <v>71</v>
      </c>
      <c r="BB395" s="43" t="s">
        <v>69</v>
      </c>
      <c r="BC395" s="51">
        <v>31</v>
      </c>
      <c r="BD395" s="43" t="s">
        <v>70</v>
      </c>
      <c r="BE395" s="9">
        <f t="shared" si="14"/>
        <v>386</v>
      </c>
      <c r="BF395" s="9" t="str">
        <f t="shared" si="15"/>
        <v>..</v>
      </c>
    </row>
    <row r="396" spans="1:58" ht="18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1" t="s">
        <v>93</v>
      </c>
      <c r="N396" s="44"/>
      <c r="O396" s="44"/>
      <c r="P396" s="44"/>
      <c r="Q396" s="45"/>
      <c r="R396" s="46"/>
      <c r="S396" s="46"/>
      <c r="T396" s="46"/>
      <c r="U396" s="44" t="s">
        <v>96</v>
      </c>
      <c r="V396" s="46"/>
      <c r="W396" s="44"/>
      <c r="X396" s="44"/>
      <c r="Y396" s="44"/>
      <c r="Z396" s="44"/>
      <c r="AA396" s="44"/>
      <c r="AB396" s="42"/>
      <c r="AC396" s="47" t="s">
        <v>97</v>
      </c>
      <c r="AD396" s="48"/>
      <c r="AE396" s="43"/>
      <c r="AF396" s="43"/>
      <c r="AG396" s="43"/>
      <c r="AH396" s="43"/>
      <c r="AI396" s="55"/>
      <c r="AJ396" s="52"/>
      <c r="AT396" s="52"/>
      <c r="AU396" s="59"/>
      <c r="AV396" s="58"/>
      <c r="AW396" s="58"/>
      <c r="AX396" s="54" t="s">
        <v>69</v>
      </c>
      <c r="AY396" s="43" t="s">
        <v>70</v>
      </c>
      <c r="AZ396" s="43" t="s">
        <v>70</v>
      </c>
      <c r="BA396" s="43" t="s">
        <v>71</v>
      </c>
      <c r="BB396" s="43" t="s">
        <v>69</v>
      </c>
      <c r="BC396" s="51">
        <v>31</v>
      </c>
      <c r="BD396" s="43" t="s">
        <v>70</v>
      </c>
      <c r="BE396" s="9">
        <f t="shared" si="14"/>
        <v>387</v>
      </c>
      <c r="BF396" s="9" t="str">
        <f t="shared" si="15"/>
        <v>..</v>
      </c>
    </row>
    <row r="397" spans="1:58" ht="18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1" t="s">
        <v>93</v>
      </c>
      <c r="N397" s="44"/>
      <c r="O397" s="44"/>
      <c r="P397" s="44"/>
      <c r="Q397" s="45"/>
      <c r="R397" s="46"/>
      <c r="S397" s="46"/>
      <c r="T397" s="46"/>
      <c r="U397" s="44" t="s">
        <v>96</v>
      </c>
      <c r="V397" s="46"/>
      <c r="W397" s="44"/>
      <c r="X397" s="44"/>
      <c r="Y397" s="44"/>
      <c r="Z397" s="44"/>
      <c r="AA397" s="44"/>
      <c r="AB397" s="42"/>
      <c r="AC397" s="47" t="s">
        <v>97</v>
      </c>
      <c r="AD397" s="48"/>
      <c r="AE397" s="43"/>
      <c r="AF397" s="43"/>
      <c r="AG397" s="43"/>
      <c r="AH397" s="43"/>
      <c r="AI397" s="55"/>
      <c r="AJ397" s="52"/>
      <c r="AT397" s="52"/>
      <c r="AU397" s="59"/>
      <c r="AV397" s="58"/>
      <c r="AW397" s="58"/>
      <c r="AX397" s="54" t="s">
        <v>69</v>
      </c>
      <c r="AY397" s="43" t="s">
        <v>70</v>
      </c>
      <c r="AZ397" s="43" t="s">
        <v>70</v>
      </c>
      <c r="BA397" s="43" t="s">
        <v>71</v>
      </c>
      <c r="BB397" s="43" t="s">
        <v>69</v>
      </c>
      <c r="BC397" s="51">
        <v>31</v>
      </c>
      <c r="BD397" s="43" t="s">
        <v>70</v>
      </c>
      <c r="BE397" s="9">
        <f t="shared" si="14"/>
        <v>388</v>
      </c>
      <c r="BF397" s="9" t="str">
        <f t="shared" si="15"/>
        <v>..</v>
      </c>
    </row>
    <row r="398" spans="1:58" ht="18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1" t="s">
        <v>93</v>
      </c>
      <c r="N398" s="44"/>
      <c r="O398" s="44"/>
      <c r="P398" s="44"/>
      <c r="Q398" s="45"/>
      <c r="R398" s="46"/>
      <c r="S398" s="46"/>
      <c r="T398" s="46"/>
      <c r="U398" s="44" t="s">
        <v>96</v>
      </c>
      <c r="V398" s="46"/>
      <c r="W398" s="44"/>
      <c r="X398" s="44"/>
      <c r="Y398" s="44"/>
      <c r="Z398" s="44"/>
      <c r="AA398" s="44"/>
      <c r="AB398" s="42"/>
      <c r="AC398" s="47" t="s">
        <v>97</v>
      </c>
      <c r="AD398" s="48"/>
      <c r="AE398" s="43"/>
      <c r="AF398" s="43"/>
      <c r="AG398" s="43"/>
      <c r="AH398" s="43"/>
      <c r="AI398" s="55"/>
      <c r="AJ398" s="52"/>
      <c r="AT398" s="52"/>
      <c r="AU398" s="59"/>
      <c r="AV398" s="58"/>
      <c r="AW398" s="58"/>
      <c r="AX398" s="54" t="s">
        <v>69</v>
      </c>
      <c r="AY398" s="43" t="s">
        <v>70</v>
      </c>
      <c r="AZ398" s="43" t="s">
        <v>70</v>
      </c>
      <c r="BA398" s="43" t="s">
        <v>71</v>
      </c>
      <c r="BB398" s="43" t="s">
        <v>69</v>
      </c>
      <c r="BC398" s="51">
        <v>31</v>
      </c>
      <c r="BD398" s="43" t="s">
        <v>70</v>
      </c>
      <c r="BE398" s="9">
        <f t="shared" si="14"/>
        <v>389</v>
      </c>
      <c r="BF398" s="9" t="str">
        <f t="shared" si="15"/>
        <v>..</v>
      </c>
    </row>
    <row r="399" spans="1:58" ht="18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1" t="s">
        <v>93</v>
      </c>
      <c r="N399" s="44"/>
      <c r="O399" s="44"/>
      <c r="P399" s="44"/>
      <c r="Q399" s="45"/>
      <c r="R399" s="46"/>
      <c r="S399" s="46"/>
      <c r="T399" s="46"/>
      <c r="U399" s="44" t="s">
        <v>96</v>
      </c>
      <c r="V399" s="46"/>
      <c r="W399" s="44"/>
      <c r="X399" s="44"/>
      <c r="Y399" s="44"/>
      <c r="Z399" s="44"/>
      <c r="AA399" s="44"/>
      <c r="AB399" s="42"/>
      <c r="AC399" s="47" t="s">
        <v>97</v>
      </c>
      <c r="AD399" s="48"/>
      <c r="AE399" s="43"/>
      <c r="AF399" s="43"/>
      <c r="AG399" s="43"/>
      <c r="AH399" s="43"/>
      <c r="AI399" s="55"/>
      <c r="AJ399" s="52"/>
      <c r="AT399" s="52"/>
      <c r="AU399" s="59"/>
      <c r="AV399" s="58"/>
      <c r="AW399" s="58"/>
      <c r="AX399" s="54" t="s">
        <v>69</v>
      </c>
      <c r="AY399" s="43" t="s">
        <v>70</v>
      </c>
      <c r="AZ399" s="43" t="s">
        <v>70</v>
      </c>
      <c r="BA399" s="43" t="s">
        <v>71</v>
      </c>
      <c r="BB399" s="43" t="s">
        <v>69</v>
      </c>
      <c r="BC399" s="51">
        <v>31</v>
      </c>
      <c r="BD399" s="43" t="s">
        <v>70</v>
      </c>
      <c r="BE399" s="9">
        <f t="shared" si="14"/>
        <v>390</v>
      </c>
      <c r="BF399" s="9" t="str">
        <f t="shared" ref="BF399:BF462" si="16">CONCATENATE(AB399,".",AD399,".",AJ399)</f>
        <v>..</v>
      </c>
    </row>
    <row r="400" spans="1:58" ht="18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1" t="s">
        <v>93</v>
      </c>
      <c r="N400" s="44"/>
      <c r="O400" s="44"/>
      <c r="P400" s="44"/>
      <c r="Q400" s="45"/>
      <c r="R400" s="46"/>
      <c r="S400" s="46"/>
      <c r="T400" s="46"/>
      <c r="U400" s="44" t="s">
        <v>96</v>
      </c>
      <c r="V400" s="46"/>
      <c r="W400" s="44"/>
      <c r="X400" s="44"/>
      <c r="Y400" s="44"/>
      <c r="Z400" s="44"/>
      <c r="AA400" s="44"/>
      <c r="AB400" s="42"/>
      <c r="AC400" s="47" t="s">
        <v>97</v>
      </c>
      <c r="AD400" s="48"/>
      <c r="AE400" s="43"/>
      <c r="AF400" s="43"/>
      <c r="AG400" s="43"/>
      <c r="AH400" s="43"/>
      <c r="AI400" s="55"/>
      <c r="AJ400" s="52"/>
      <c r="AT400" s="52"/>
      <c r="AU400" s="59"/>
      <c r="AV400" s="58"/>
      <c r="AW400" s="58"/>
      <c r="AX400" s="54" t="s">
        <v>69</v>
      </c>
      <c r="AY400" s="43" t="s">
        <v>70</v>
      </c>
      <c r="AZ400" s="43" t="s">
        <v>70</v>
      </c>
      <c r="BA400" s="43" t="s">
        <v>71</v>
      </c>
      <c r="BB400" s="43" t="s">
        <v>69</v>
      </c>
      <c r="BC400" s="51">
        <v>31</v>
      </c>
      <c r="BD400" s="43" t="s">
        <v>70</v>
      </c>
      <c r="BE400" s="9">
        <f t="shared" ref="BE400:BE463" si="17">ROW()-ROW($BE$9)</f>
        <v>391</v>
      </c>
      <c r="BF400" s="9" t="str">
        <f t="shared" si="16"/>
        <v>..</v>
      </c>
    </row>
    <row r="401" spans="1:58" ht="18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1" t="s">
        <v>93</v>
      </c>
      <c r="N401" s="44"/>
      <c r="O401" s="44"/>
      <c r="P401" s="44"/>
      <c r="Q401" s="45"/>
      <c r="R401" s="46"/>
      <c r="S401" s="46"/>
      <c r="T401" s="46"/>
      <c r="U401" s="44" t="s">
        <v>96</v>
      </c>
      <c r="V401" s="46"/>
      <c r="W401" s="44"/>
      <c r="X401" s="44"/>
      <c r="Y401" s="44"/>
      <c r="Z401" s="44"/>
      <c r="AA401" s="44"/>
      <c r="AB401" s="42"/>
      <c r="AC401" s="47" t="s">
        <v>97</v>
      </c>
      <c r="AD401" s="48"/>
      <c r="AE401" s="43"/>
      <c r="AF401" s="43"/>
      <c r="AG401" s="43"/>
      <c r="AH401" s="43"/>
      <c r="AI401" s="55"/>
      <c r="AJ401" s="52"/>
      <c r="AT401" s="52"/>
      <c r="AU401" s="59"/>
      <c r="AV401" s="58"/>
      <c r="AW401" s="58"/>
      <c r="AX401" s="54" t="s">
        <v>69</v>
      </c>
      <c r="AY401" s="43" t="s">
        <v>70</v>
      </c>
      <c r="AZ401" s="43" t="s">
        <v>70</v>
      </c>
      <c r="BA401" s="43" t="s">
        <v>71</v>
      </c>
      <c r="BB401" s="43" t="s">
        <v>69</v>
      </c>
      <c r="BC401" s="51">
        <v>31</v>
      </c>
      <c r="BD401" s="43" t="s">
        <v>70</v>
      </c>
      <c r="BE401" s="9">
        <f t="shared" si="17"/>
        <v>392</v>
      </c>
      <c r="BF401" s="9" t="str">
        <f t="shared" si="16"/>
        <v>..</v>
      </c>
    </row>
    <row r="402" spans="1:58" ht="18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1" t="s">
        <v>93</v>
      </c>
      <c r="N402" s="44"/>
      <c r="O402" s="44"/>
      <c r="P402" s="44"/>
      <c r="Q402" s="45"/>
      <c r="R402" s="46"/>
      <c r="S402" s="46"/>
      <c r="T402" s="46"/>
      <c r="U402" s="44" t="s">
        <v>96</v>
      </c>
      <c r="V402" s="46"/>
      <c r="W402" s="44"/>
      <c r="X402" s="44"/>
      <c r="Y402" s="44"/>
      <c r="Z402" s="44"/>
      <c r="AA402" s="44"/>
      <c r="AB402" s="42"/>
      <c r="AC402" s="47" t="s">
        <v>97</v>
      </c>
      <c r="AD402" s="48"/>
      <c r="AE402" s="43"/>
      <c r="AF402" s="43"/>
      <c r="AG402" s="43"/>
      <c r="AH402" s="43"/>
      <c r="AI402" s="55"/>
      <c r="AJ402" s="52"/>
      <c r="AT402" s="52"/>
      <c r="AU402" s="59"/>
      <c r="AV402" s="58"/>
      <c r="AW402" s="58"/>
      <c r="AX402" s="54" t="s">
        <v>69</v>
      </c>
      <c r="AY402" s="43" t="s">
        <v>70</v>
      </c>
      <c r="AZ402" s="43" t="s">
        <v>70</v>
      </c>
      <c r="BA402" s="43" t="s">
        <v>71</v>
      </c>
      <c r="BB402" s="43" t="s">
        <v>69</v>
      </c>
      <c r="BC402" s="51">
        <v>31</v>
      </c>
      <c r="BD402" s="43" t="s">
        <v>70</v>
      </c>
      <c r="BE402" s="9">
        <f t="shared" si="17"/>
        <v>393</v>
      </c>
      <c r="BF402" s="9" t="str">
        <f t="shared" si="16"/>
        <v>..</v>
      </c>
    </row>
    <row r="403" spans="1:58" ht="18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1" t="s">
        <v>93</v>
      </c>
      <c r="N403" s="44"/>
      <c r="O403" s="44"/>
      <c r="P403" s="44"/>
      <c r="Q403" s="45"/>
      <c r="R403" s="46"/>
      <c r="S403" s="46"/>
      <c r="T403" s="46"/>
      <c r="U403" s="44" t="s">
        <v>96</v>
      </c>
      <c r="V403" s="46"/>
      <c r="W403" s="44"/>
      <c r="X403" s="44"/>
      <c r="Y403" s="44"/>
      <c r="Z403" s="44"/>
      <c r="AA403" s="44"/>
      <c r="AB403" s="42"/>
      <c r="AC403" s="47" t="s">
        <v>97</v>
      </c>
      <c r="AD403" s="48"/>
      <c r="AE403" s="43"/>
      <c r="AF403" s="43"/>
      <c r="AG403" s="43"/>
      <c r="AH403" s="43"/>
      <c r="AI403" s="55"/>
      <c r="AJ403" s="52"/>
      <c r="AT403" s="52"/>
      <c r="AU403" s="59"/>
      <c r="AV403" s="58"/>
      <c r="AW403" s="58"/>
      <c r="AX403" s="54" t="s">
        <v>69</v>
      </c>
      <c r="AY403" s="43" t="s">
        <v>70</v>
      </c>
      <c r="AZ403" s="43" t="s">
        <v>70</v>
      </c>
      <c r="BA403" s="43" t="s">
        <v>71</v>
      </c>
      <c r="BB403" s="43" t="s">
        <v>69</v>
      </c>
      <c r="BC403" s="51">
        <v>31</v>
      </c>
      <c r="BD403" s="43" t="s">
        <v>70</v>
      </c>
      <c r="BE403" s="9">
        <f t="shared" si="17"/>
        <v>394</v>
      </c>
      <c r="BF403" s="9" t="str">
        <f t="shared" si="16"/>
        <v>..</v>
      </c>
    </row>
    <row r="404" spans="1:58" ht="18" customHeight="1">
      <c r="M404" s="61" t="s">
        <v>93</v>
      </c>
      <c r="N404" s="44"/>
      <c r="O404" s="44"/>
      <c r="P404" s="44"/>
      <c r="Q404" s="45"/>
      <c r="R404" s="46"/>
      <c r="S404" s="46"/>
      <c r="T404" s="46"/>
      <c r="U404" s="44" t="s">
        <v>96</v>
      </c>
      <c r="V404" s="46"/>
      <c r="W404" s="44"/>
      <c r="X404" s="44"/>
      <c r="Y404" s="44"/>
      <c r="Z404" s="44"/>
      <c r="AA404" s="44"/>
      <c r="AB404" s="42"/>
      <c r="AC404" s="47" t="s">
        <v>97</v>
      </c>
      <c r="AD404" s="48"/>
      <c r="AE404" s="43"/>
      <c r="AF404" s="43"/>
      <c r="AG404" s="43"/>
      <c r="AH404" s="43"/>
      <c r="AI404" s="55"/>
      <c r="AJ404" s="52"/>
      <c r="AT404" s="52"/>
      <c r="AU404" s="59"/>
      <c r="AV404" s="58"/>
      <c r="AW404" s="58"/>
      <c r="AX404" s="54" t="s">
        <v>69</v>
      </c>
      <c r="AY404" s="43" t="s">
        <v>70</v>
      </c>
      <c r="AZ404" s="43" t="s">
        <v>70</v>
      </c>
      <c r="BA404" s="43" t="s">
        <v>71</v>
      </c>
      <c r="BB404" s="43" t="s">
        <v>69</v>
      </c>
      <c r="BC404" s="51">
        <v>31</v>
      </c>
      <c r="BD404" s="43" t="s">
        <v>70</v>
      </c>
      <c r="BE404" s="9">
        <f t="shared" si="17"/>
        <v>395</v>
      </c>
      <c r="BF404" s="9" t="str">
        <f t="shared" si="16"/>
        <v>..</v>
      </c>
    </row>
    <row r="405" spans="1:58" ht="18" customHeight="1">
      <c r="M405" s="61" t="s">
        <v>93</v>
      </c>
      <c r="N405" s="44"/>
      <c r="O405" s="44"/>
      <c r="P405" s="44"/>
      <c r="Q405" s="45"/>
      <c r="R405" s="46"/>
      <c r="S405" s="46"/>
      <c r="T405" s="46"/>
      <c r="U405" s="44" t="s">
        <v>96</v>
      </c>
      <c r="V405" s="46"/>
      <c r="W405" s="44"/>
      <c r="X405" s="44"/>
      <c r="Y405" s="44"/>
      <c r="Z405" s="44"/>
      <c r="AA405" s="44"/>
      <c r="AB405" s="42"/>
      <c r="AC405" s="47" t="s">
        <v>97</v>
      </c>
      <c r="AD405" s="48"/>
      <c r="AE405" s="43"/>
      <c r="AF405" s="43"/>
      <c r="AG405" s="43"/>
      <c r="AH405" s="43"/>
      <c r="AI405" s="55"/>
      <c r="AJ405" s="52"/>
      <c r="AT405" s="52"/>
      <c r="AU405" s="59"/>
      <c r="AV405" s="58"/>
      <c r="AW405" s="58"/>
      <c r="AX405" s="54" t="s">
        <v>69</v>
      </c>
      <c r="AY405" s="43" t="s">
        <v>70</v>
      </c>
      <c r="AZ405" s="43" t="s">
        <v>70</v>
      </c>
      <c r="BA405" s="43" t="s">
        <v>71</v>
      </c>
      <c r="BB405" s="43" t="s">
        <v>69</v>
      </c>
      <c r="BC405" s="51">
        <v>31</v>
      </c>
      <c r="BD405" s="43" t="s">
        <v>70</v>
      </c>
      <c r="BE405" s="9">
        <f t="shared" si="17"/>
        <v>396</v>
      </c>
      <c r="BF405" s="9" t="str">
        <f t="shared" si="16"/>
        <v>..</v>
      </c>
    </row>
    <row r="406" spans="1:58" ht="18" customHeight="1">
      <c r="M406" s="61" t="s">
        <v>93</v>
      </c>
      <c r="N406" s="44"/>
      <c r="O406" s="44"/>
      <c r="P406" s="44"/>
      <c r="Q406" s="45"/>
      <c r="R406" s="46"/>
      <c r="S406" s="46"/>
      <c r="T406" s="46"/>
      <c r="U406" s="44" t="s">
        <v>96</v>
      </c>
      <c r="V406" s="46"/>
      <c r="W406" s="44"/>
      <c r="X406" s="44"/>
      <c r="Y406" s="44"/>
      <c r="Z406" s="44"/>
      <c r="AA406" s="44"/>
      <c r="AB406" s="42"/>
      <c r="AC406" s="47" t="s">
        <v>97</v>
      </c>
      <c r="AD406" s="48"/>
      <c r="AE406" s="43"/>
      <c r="AF406" s="43"/>
      <c r="AG406" s="43"/>
      <c r="AH406" s="43"/>
      <c r="AI406" s="55"/>
      <c r="AJ406" s="52"/>
      <c r="AT406" s="52"/>
      <c r="AU406" s="59"/>
      <c r="AV406" s="58"/>
      <c r="AW406" s="58"/>
      <c r="AX406" s="54" t="s">
        <v>69</v>
      </c>
      <c r="AY406" s="43" t="s">
        <v>70</v>
      </c>
      <c r="AZ406" s="43" t="s">
        <v>70</v>
      </c>
      <c r="BA406" s="43" t="s">
        <v>71</v>
      </c>
      <c r="BB406" s="43" t="s">
        <v>69</v>
      </c>
      <c r="BC406" s="51">
        <v>31</v>
      </c>
      <c r="BD406" s="43" t="s">
        <v>70</v>
      </c>
      <c r="BE406" s="9">
        <f t="shared" si="17"/>
        <v>397</v>
      </c>
      <c r="BF406" s="9" t="str">
        <f t="shared" si="16"/>
        <v>..</v>
      </c>
    </row>
    <row r="407" spans="1:58" ht="18" customHeight="1">
      <c r="M407" s="61" t="s">
        <v>93</v>
      </c>
      <c r="N407" s="44"/>
      <c r="O407" s="44"/>
      <c r="P407" s="44"/>
      <c r="Q407" s="45"/>
      <c r="R407" s="46"/>
      <c r="S407" s="46"/>
      <c r="T407" s="46"/>
      <c r="U407" s="44" t="s">
        <v>96</v>
      </c>
      <c r="V407" s="46"/>
      <c r="W407" s="44"/>
      <c r="X407" s="44"/>
      <c r="Y407" s="44"/>
      <c r="Z407" s="44"/>
      <c r="AA407" s="44"/>
      <c r="AB407" s="42"/>
      <c r="AC407" s="47" t="s">
        <v>97</v>
      </c>
      <c r="AD407" s="48"/>
      <c r="AE407" s="43"/>
      <c r="AF407" s="43"/>
      <c r="AG407" s="43"/>
      <c r="AH407" s="43"/>
      <c r="AI407" s="55"/>
      <c r="AJ407" s="52"/>
      <c r="AT407" s="52"/>
      <c r="AU407" s="59"/>
      <c r="AV407" s="58"/>
      <c r="AW407" s="58"/>
      <c r="AX407" s="54" t="s">
        <v>69</v>
      </c>
      <c r="AY407" s="43" t="s">
        <v>70</v>
      </c>
      <c r="AZ407" s="43" t="s">
        <v>70</v>
      </c>
      <c r="BA407" s="43" t="s">
        <v>71</v>
      </c>
      <c r="BB407" s="43" t="s">
        <v>69</v>
      </c>
      <c r="BC407" s="51">
        <v>31</v>
      </c>
      <c r="BD407" s="43" t="s">
        <v>70</v>
      </c>
      <c r="BE407" s="9">
        <f t="shared" si="17"/>
        <v>398</v>
      </c>
      <c r="BF407" s="9" t="str">
        <f t="shared" si="16"/>
        <v>..</v>
      </c>
    </row>
    <row r="408" spans="1:58" ht="18" customHeight="1">
      <c r="M408" s="61" t="s">
        <v>93</v>
      </c>
      <c r="N408" s="44"/>
      <c r="O408" s="44"/>
      <c r="P408" s="44"/>
      <c r="Q408" s="45"/>
      <c r="R408" s="46"/>
      <c r="S408" s="46"/>
      <c r="T408" s="46"/>
      <c r="U408" s="44" t="s">
        <v>96</v>
      </c>
      <c r="V408" s="46"/>
      <c r="W408" s="44"/>
      <c r="X408" s="44"/>
      <c r="Y408" s="44"/>
      <c r="Z408" s="44"/>
      <c r="AA408" s="44"/>
      <c r="AB408" s="42"/>
      <c r="AC408" s="47" t="s">
        <v>97</v>
      </c>
      <c r="AD408" s="48"/>
      <c r="AE408" s="43"/>
      <c r="AF408" s="43"/>
      <c r="AG408" s="43"/>
      <c r="AH408" s="43"/>
      <c r="AI408" s="55"/>
      <c r="AJ408" s="52"/>
      <c r="AT408" s="52"/>
      <c r="AU408" s="59"/>
      <c r="AV408" s="58"/>
      <c r="AW408" s="58"/>
      <c r="AX408" s="54" t="s">
        <v>69</v>
      </c>
      <c r="AY408" s="43" t="s">
        <v>70</v>
      </c>
      <c r="AZ408" s="43" t="s">
        <v>70</v>
      </c>
      <c r="BA408" s="43" t="s">
        <v>71</v>
      </c>
      <c r="BB408" s="43" t="s">
        <v>69</v>
      </c>
      <c r="BC408" s="51">
        <v>31</v>
      </c>
      <c r="BD408" s="43" t="s">
        <v>70</v>
      </c>
      <c r="BE408" s="9">
        <f t="shared" si="17"/>
        <v>399</v>
      </c>
      <c r="BF408" s="9" t="str">
        <f t="shared" si="16"/>
        <v>..</v>
      </c>
    </row>
    <row r="409" spans="1:58" ht="18" customHeight="1">
      <c r="M409" s="61" t="s">
        <v>93</v>
      </c>
      <c r="N409" s="44"/>
      <c r="O409" s="44"/>
      <c r="P409" s="44"/>
      <c r="Q409" s="45"/>
      <c r="R409" s="46"/>
      <c r="S409" s="46"/>
      <c r="T409" s="46"/>
      <c r="U409" s="44" t="s">
        <v>96</v>
      </c>
      <c r="V409" s="46"/>
      <c r="W409" s="44"/>
      <c r="X409" s="44"/>
      <c r="Y409" s="44"/>
      <c r="Z409" s="44"/>
      <c r="AA409" s="44"/>
      <c r="AB409" s="42"/>
      <c r="AC409" s="47" t="s">
        <v>97</v>
      </c>
      <c r="AD409" s="48"/>
      <c r="AE409" s="43"/>
      <c r="AF409" s="43"/>
      <c r="AG409" s="43"/>
      <c r="AH409" s="43"/>
      <c r="AI409" s="55"/>
      <c r="AJ409" s="52"/>
      <c r="AT409" s="52"/>
      <c r="AU409" s="59"/>
      <c r="AV409" s="58"/>
      <c r="AW409" s="58"/>
      <c r="AX409" s="54" t="s">
        <v>69</v>
      </c>
      <c r="AY409" s="43" t="s">
        <v>70</v>
      </c>
      <c r="AZ409" s="43" t="s">
        <v>70</v>
      </c>
      <c r="BA409" s="43" t="s">
        <v>71</v>
      </c>
      <c r="BB409" s="43" t="s">
        <v>69</v>
      </c>
      <c r="BC409" s="51">
        <v>31</v>
      </c>
      <c r="BD409" s="43" t="s">
        <v>70</v>
      </c>
      <c r="BE409" s="9">
        <f t="shared" si="17"/>
        <v>400</v>
      </c>
      <c r="BF409" s="9" t="str">
        <f t="shared" si="16"/>
        <v>..</v>
      </c>
    </row>
    <row r="410" spans="1:58" ht="18" customHeight="1">
      <c r="M410" s="61" t="s">
        <v>93</v>
      </c>
      <c r="N410" s="44"/>
      <c r="O410" s="44"/>
      <c r="P410" s="44"/>
      <c r="Q410" s="45"/>
      <c r="R410" s="46"/>
      <c r="S410" s="46"/>
      <c r="T410" s="46"/>
      <c r="U410" s="44" t="s">
        <v>96</v>
      </c>
      <c r="V410" s="46"/>
      <c r="W410" s="44"/>
      <c r="X410" s="44"/>
      <c r="Y410" s="44"/>
      <c r="Z410" s="44"/>
      <c r="AA410" s="44"/>
      <c r="AB410" s="42"/>
      <c r="AC410" s="47" t="s">
        <v>97</v>
      </c>
      <c r="AD410" s="48"/>
      <c r="AE410" s="43"/>
      <c r="AF410" s="43"/>
      <c r="AG410" s="43"/>
      <c r="AH410" s="43"/>
      <c r="AI410" s="55"/>
      <c r="AJ410" s="52"/>
      <c r="AT410" s="52"/>
      <c r="AU410" s="59"/>
      <c r="AV410" s="58"/>
      <c r="AW410" s="58"/>
      <c r="AX410" s="54" t="s">
        <v>69</v>
      </c>
      <c r="AY410" s="43" t="s">
        <v>70</v>
      </c>
      <c r="AZ410" s="43" t="s">
        <v>70</v>
      </c>
      <c r="BA410" s="43" t="s">
        <v>71</v>
      </c>
      <c r="BB410" s="43" t="s">
        <v>69</v>
      </c>
      <c r="BC410" s="51">
        <v>31</v>
      </c>
      <c r="BD410" s="43" t="s">
        <v>70</v>
      </c>
      <c r="BE410" s="9">
        <f t="shared" si="17"/>
        <v>401</v>
      </c>
      <c r="BF410" s="9" t="str">
        <f t="shared" si="16"/>
        <v>..</v>
      </c>
    </row>
    <row r="411" spans="1:58" ht="18" customHeight="1">
      <c r="M411" s="61" t="s">
        <v>93</v>
      </c>
      <c r="N411" s="44"/>
      <c r="O411" s="44"/>
      <c r="P411" s="44"/>
      <c r="Q411" s="45"/>
      <c r="R411" s="46"/>
      <c r="S411" s="46"/>
      <c r="T411" s="46"/>
      <c r="U411" s="44" t="s">
        <v>96</v>
      </c>
      <c r="V411" s="46"/>
      <c r="W411" s="44"/>
      <c r="X411" s="44"/>
      <c r="Y411" s="44"/>
      <c r="Z411" s="44"/>
      <c r="AA411" s="44"/>
      <c r="AB411" s="42"/>
      <c r="AC411" s="47" t="s">
        <v>97</v>
      </c>
      <c r="AD411" s="48"/>
      <c r="AE411" s="43"/>
      <c r="AF411" s="43"/>
      <c r="AG411" s="43"/>
      <c r="AH411" s="43"/>
      <c r="AI411" s="55"/>
      <c r="AJ411" s="52"/>
      <c r="AT411" s="52"/>
      <c r="AU411" s="59"/>
      <c r="AV411" s="58"/>
      <c r="AW411" s="58"/>
      <c r="AX411" s="54" t="s">
        <v>69</v>
      </c>
      <c r="AY411" s="43" t="s">
        <v>70</v>
      </c>
      <c r="AZ411" s="43" t="s">
        <v>70</v>
      </c>
      <c r="BA411" s="43" t="s">
        <v>71</v>
      </c>
      <c r="BB411" s="43" t="s">
        <v>69</v>
      </c>
      <c r="BC411" s="51">
        <v>31</v>
      </c>
      <c r="BD411" s="43" t="s">
        <v>70</v>
      </c>
      <c r="BE411" s="9">
        <f t="shared" si="17"/>
        <v>402</v>
      </c>
      <c r="BF411" s="9" t="str">
        <f t="shared" si="16"/>
        <v>..</v>
      </c>
    </row>
    <row r="412" spans="1:58" ht="18" customHeight="1">
      <c r="M412" s="61" t="s">
        <v>93</v>
      </c>
      <c r="N412" s="44"/>
      <c r="O412" s="44"/>
      <c r="P412" s="44"/>
      <c r="Q412" s="45"/>
      <c r="R412" s="46"/>
      <c r="S412" s="46"/>
      <c r="T412" s="46"/>
      <c r="U412" s="44" t="s">
        <v>96</v>
      </c>
      <c r="V412" s="46"/>
      <c r="W412" s="44"/>
      <c r="X412" s="44"/>
      <c r="Y412" s="44"/>
      <c r="Z412" s="44"/>
      <c r="AA412" s="44"/>
      <c r="AB412" s="42"/>
      <c r="AC412" s="47" t="s">
        <v>97</v>
      </c>
      <c r="AD412" s="48"/>
      <c r="AE412" s="43"/>
      <c r="AF412" s="43"/>
      <c r="AG412" s="43"/>
      <c r="AH412" s="43"/>
      <c r="AI412" s="55"/>
      <c r="AJ412" s="52"/>
      <c r="AT412" s="52"/>
      <c r="AU412" s="59"/>
      <c r="AV412" s="58"/>
      <c r="AW412" s="58"/>
      <c r="AX412" s="54" t="s">
        <v>69</v>
      </c>
      <c r="AY412" s="43" t="s">
        <v>70</v>
      </c>
      <c r="AZ412" s="43" t="s">
        <v>70</v>
      </c>
      <c r="BA412" s="43" t="s">
        <v>71</v>
      </c>
      <c r="BB412" s="43" t="s">
        <v>69</v>
      </c>
      <c r="BC412" s="51">
        <v>31</v>
      </c>
      <c r="BD412" s="43" t="s">
        <v>70</v>
      </c>
      <c r="BE412" s="9">
        <f t="shared" si="17"/>
        <v>403</v>
      </c>
      <c r="BF412" s="9" t="str">
        <f t="shared" si="16"/>
        <v>..</v>
      </c>
    </row>
    <row r="413" spans="1:58" ht="18" customHeight="1">
      <c r="M413" s="61" t="s">
        <v>93</v>
      </c>
      <c r="N413" s="44"/>
      <c r="O413" s="44"/>
      <c r="P413" s="44"/>
      <c r="Q413" s="45"/>
      <c r="R413" s="46"/>
      <c r="S413" s="46"/>
      <c r="T413" s="46"/>
      <c r="U413" s="44" t="s">
        <v>96</v>
      </c>
      <c r="V413" s="46"/>
      <c r="W413" s="44"/>
      <c r="X413" s="44"/>
      <c r="Y413" s="44"/>
      <c r="Z413" s="44"/>
      <c r="AA413" s="44"/>
      <c r="AB413" s="42"/>
      <c r="AC413" s="47" t="s">
        <v>97</v>
      </c>
      <c r="AD413" s="48"/>
      <c r="AE413" s="43"/>
      <c r="AF413" s="43"/>
      <c r="AG413" s="43"/>
      <c r="AH413" s="43"/>
      <c r="AI413" s="55"/>
      <c r="AJ413" s="52"/>
      <c r="AT413" s="52"/>
      <c r="AU413" s="59"/>
      <c r="AV413" s="58"/>
      <c r="AW413" s="58"/>
      <c r="AX413" s="54" t="s">
        <v>69</v>
      </c>
      <c r="AY413" s="43" t="s">
        <v>70</v>
      </c>
      <c r="AZ413" s="43" t="s">
        <v>70</v>
      </c>
      <c r="BA413" s="43" t="s">
        <v>71</v>
      </c>
      <c r="BB413" s="43" t="s">
        <v>69</v>
      </c>
      <c r="BC413" s="51">
        <v>31</v>
      </c>
      <c r="BD413" s="43" t="s">
        <v>70</v>
      </c>
      <c r="BE413" s="9">
        <f t="shared" si="17"/>
        <v>404</v>
      </c>
      <c r="BF413" s="9" t="str">
        <f t="shared" si="16"/>
        <v>..</v>
      </c>
    </row>
    <row r="414" spans="1:58" ht="18" customHeight="1">
      <c r="M414" s="61" t="s">
        <v>93</v>
      </c>
      <c r="N414" s="44"/>
      <c r="O414" s="44"/>
      <c r="P414" s="44"/>
      <c r="Q414" s="45"/>
      <c r="R414" s="46"/>
      <c r="S414" s="46"/>
      <c r="T414" s="46"/>
      <c r="U414" s="44" t="s">
        <v>96</v>
      </c>
      <c r="V414" s="46"/>
      <c r="W414" s="44"/>
      <c r="X414" s="44"/>
      <c r="Y414" s="44"/>
      <c r="Z414" s="44"/>
      <c r="AA414" s="44"/>
      <c r="AB414" s="42"/>
      <c r="AC414" s="47" t="s">
        <v>97</v>
      </c>
      <c r="AD414" s="48"/>
      <c r="AE414" s="43"/>
      <c r="AF414" s="43"/>
      <c r="AG414" s="43"/>
      <c r="AH414" s="43"/>
      <c r="AI414" s="55"/>
      <c r="AJ414" s="52"/>
      <c r="AT414" s="52"/>
      <c r="AU414" s="59"/>
      <c r="AV414" s="58"/>
      <c r="AW414" s="58"/>
      <c r="AX414" s="54" t="s">
        <v>69</v>
      </c>
      <c r="AY414" s="43" t="s">
        <v>70</v>
      </c>
      <c r="AZ414" s="43" t="s">
        <v>70</v>
      </c>
      <c r="BA414" s="43" t="s">
        <v>71</v>
      </c>
      <c r="BB414" s="43" t="s">
        <v>69</v>
      </c>
      <c r="BC414" s="51">
        <v>31</v>
      </c>
      <c r="BD414" s="43" t="s">
        <v>70</v>
      </c>
      <c r="BE414" s="9">
        <f t="shared" si="17"/>
        <v>405</v>
      </c>
      <c r="BF414" s="9" t="str">
        <f t="shared" si="16"/>
        <v>..</v>
      </c>
    </row>
    <row r="415" spans="1:58" ht="18" customHeight="1">
      <c r="M415" s="61" t="s">
        <v>93</v>
      </c>
      <c r="N415" s="44"/>
      <c r="O415" s="44"/>
      <c r="P415" s="44"/>
      <c r="Q415" s="45"/>
      <c r="R415" s="46"/>
      <c r="S415" s="46"/>
      <c r="T415" s="46"/>
      <c r="U415" s="44" t="s">
        <v>96</v>
      </c>
      <c r="V415" s="46"/>
      <c r="W415" s="44"/>
      <c r="X415" s="44"/>
      <c r="Y415" s="44"/>
      <c r="Z415" s="44"/>
      <c r="AA415" s="44"/>
      <c r="AB415" s="42"/>
      <c r="AC415" s="47" t="s">
        <v>97</v>
      </c>
      <c r="AD415" s="48"/>
      <c r="AE415" s="43"/>
      <c r="AF415" s="43"/>
      <c r="AG415" s="43"/>
      <c r="AH415" s="43"/>
      <c r="AI415" s="55"/>
      <c r="AJ415" s="52"/>
      <c r="AT415" s="52"/>
      <c r="AU415" s="59"/>
      <c r="AV415" s="58"/>
      <c r="AW415" s="58"/>
      <c r="AX415" s="54" t="s">
        <v>69</v>
      </c>
      <c r="AY415" s="43" t="s">
        <v>70</v>
      </c>
      <c r="AZ415" s="43" t="s">
        <v>70</v>
      </c>
      <c r="BA415" s="43" t="s">
        <v>71</v>
      </c>
      <c r="BB415" s="43" t="s">
        <v>69</v>
      </c>
      <c r="BC415" s="51">
        <v>31</v>
      </c>
      <c r="BD415" s="43" t="s">
        <v>70</v>
      </c>
      <c r="BE415" s="9">
        <f t="shared" si="17"/>
        <v>406</v>
      </c>
      <c r="BF415" s="9" t="str">
        <f t="shared" si="16"/>
        <v>..</v>
      </c>
    </row>
    <row r="416" spans="1:58" ht="18" customHeight="1">
      <c r="M416" s="61" t="s">
        <v>93</v>
      </c>
      <c r="N416" s="44"/>
      <c r="O416" s="44"/>
      <c r="P416" s="44"/>
      <c r="Q416" s="45"/>
      <c r="R416" s="46"/>
      <c r="S416" s="46"/>
      <c r="T416" s="46"/>
      <c r="U416" s="44" t="s">
        <v>96</v>
      </c>
      <c r="V416" s="46"/>
      <c r="W416" s="44"/>
      <c r="X416" s="44"/>
      <c r="Y416" s="44"/>
      <c r="Z416" s="44"/>
      <c r="AA416" s="44"/>
      <c r="AB416" s="42"/>
      <c r="AC416" s="47" t="s">
        <v>97</v>
      </c>
      <c r="AD416" s="48"/>
      <c r="AE416" s="43"/>
      <c r="AF416" s="43"/>
      <c r="AG416" s="43"/>
      <c r="AH416" s="43"/>
      <c r="AI416" s="55"/>
      <c r="AJ416" s="52"/>
      <c r="AT416" s="52"/>
      <c r="AU416" s="59"/>
      <c r="AV416" s="58"/>
      <c r="AW416" s="58"/>
      <c r="AX416" s="54" t="s">
        <v>69</v>
      </c>
      <c r="AY416" s="43" t="s">
        <v>70</v>
      </c>
      <c r="AZ416" s="43" t="s">
        <v>70</v>
      </c>
      <c r="BA416" s="43" t="s">
        <v>71</v>
      </c>
      <c r="BB416" s="43" t="s">
        <v>69</v>
      </c>
      <c r="BC416" s="51">
        <v>31</v>
      </c>
      <c r="BD416" s="43" t="s">
        <v>70</v>
      </c>
      <c r="BE416" s="9">
        <f t="shared" si="17"/>
        <v>407</v>
      </c>
      <c r="BF416" s="9" t="str">
        <f t="shared" si="16"/>
        <v>..</v>
      </c>
    </row>
    <row r="417" spans="13:58" ht="18" customHeight="1">
      <c r="M417" s="61" t="s">
        <v>93</v>
      </c>
      <c r="N417" s="44"/>
      <c r="O417" s="44"/>
      <c r="P417" s="44"/>
      <c r="Q417" s="45"/>
      <c r="R417" s="46"/>
      <c r="S417" s="46"/>
      <c r="T417" s="46"/>
      <c r="U417" s="44" t="s">
        <v>96</v>
      </c>
      <c r="V417" s="46"/>
      <c r="W417" s="44"/>
      <c r="X417" s="44"/>
      <c r="Y417" s="44"/>
      <c r="Z417" s="44"/>
      <c r="AA417" s="44"/>
      <c r="AB417" s="42"/>
      <c r="AC417" s="47" t="s">
        <v>97</v>
      </c>
      <c r="AD417" s="48"/>
      <c r="AE417" s="43"/>
      <c r="AF417" s="43"/>
      <c r="AG417" s="43"/>
      <c r="AH417" s="43"/>
      <c r="AI417" s="55"/>
      <c r="AJ417" s="52"/>
      <c r="AT417" s="52"/>
      <c r="AU417" s="59"/>
      <c r="AV417" s="58"/>
      <c r="AW417" s="58"/>
      <c r="AX417" s="54" t="s">
        <v>69</v>
      </c>
      <c r="AY417" s="43" t="s">
        <v>70</v>
      </c>
      <c r="AZ417" s="43" t="s">
        <v>70</v>
      </c>
      <c r="BA417" s="43" t="s">
        <v>71</v>
      </c>
      <c r="BB417" s="43" t="s">
        <v>69</v>
      </c>
      <c r="BC417" s="51">
        <v>31</v>
      </c>
      <c r="BD417" s="43" t="s">
        <v>70</v>
      </c>
      <c r="BE417" s="9">
        <f t="shared" si="17"/>
        <v>408</v>
      </c>
      <c r="BF417" s="9" t="str">
        <f t="shared" si="16"/>
        <v>..</v>
      </c>
    </row>
    <row r="418" spans="13:58" ht="18" customHeight="1">
      <c r="M418" s="61" t="s">
        <v>93</v>
      </c>
      <c r="N418" s="44"/>
      <c r="O418" s="44"/>
      <c r="P418" s="44"/>
      <c r="Q418" s="45"/>
      <c r="R418" s="46"/>
      <c r="S418" s="46"/>
      <c r="T418" s="46"/>
      <c r="U418" s="44" t="s">
        <v>96</v>
      </c>
      <c r="V418" s="46"/>
      <c r="W418" s="44"/>
      <c r="X418" s="44"/>
      <c r="Y418" s="44"/>
      <c r="Z418" s="44"/>
      <c r="AA418" s="44"/>
      <c r="AB418" s="42"/>
      <c r="AC418" s="47" t="s">
        <v>97</v>
      </c>
      <c r="AD418" s="48"/>
      <c r="AE418" s="43"/>
      <c r="AF418" s="43"/>
      <c r="AG418" s="43"/>
      <c r="AH418" s="43"/>
      <c r="AI418" s="55"/>
      <c r="AJ418" s="52"/>
      <c r="AT418" s="52"/>
      <c r="AU418" s="59"/>
      <c r="AV418" s="58"/>
      <c r="AW418" s="58"/>
      <c r="AX418" s="54" t="s">
        <v>69</v>
      </c>
      <c r="AY418" s="43" t="s">
        <v>70</v>
      </c>
      <c r="AZ418" s="43" t="s">
        <v>70</v>
      </c>
      <c r="BA418" s="43" t="s">
        <v>71</v>
      </c>
      <c r="BB418" s="43" t="s">
        <v>69</v>
      </c>
      <c r="BC418" s="51">
        <v>31</v>
      </c>
      <c r="BD418" s="43" t="s">
        <v>70</v>
      </c>
      <c r="BE418" s="9">
        <f t="shared" si="17"/>
        <v>409</v>
      </c>
      <c r="BF418" s="9" t="str">
        <f t="shared" si="16"/>
        <v>..</v>
      </c>
    </row>
    <row r="419" spans="13:58" ht="18" customHeight="1">
      <c r="M419" s="61" t="s">
        <v>93</v>
      </c>
      <c r="N419" s="44"/>
      <c r="O419" s="44"/>
      <c r="P419" s="44"/>
      <c r="Q419" s="45"/>
      <c r="R419" s="46"/>
      <c r="S419" s="46"/>
      <c r="T419" s="46"/>
      <c r="U419" s="44" t="s">
        <v>96</v>
      </c>
      <c r="V419" s="46"/>
      <c r="W419" s="44"/>
      <c r="X419" s="44"/>
      <c r="Y419" s="44"/>
      <c r="Z419" s="44"/>
      <c r="AA419" s="44"/>
      <c r="AB419" s="42"/>
      <c r="AC419" s="47" t="s">
        <v>97</v>
      </c>
      <c r="AD419" s="48"/>
      <c r="AE419" s="43"/>
      <c r="AF419" s="43"/>
      <c r="AG419" s="43"/>
      <c r="AH419" s="43"/>
      <c r="AI419" s="55"/>
      <c r="AJ419" s="52"/>
      <c r="AT419" s="52"/>
      <c r="AU419" s="59"/>
      <c r="AV419" s="58"/>
      <c r="AW419" s="58"/>
      <c r="AX419" s="54" t="s">
        <v>69</v>
      </c>
      <c r="AY419" s="43" t="s">
        <v>70</v>
      </c>
      <c r="AZ419" s="43" t="s">
        <v>70</v>
      </c>
      <c r="BA419" s="43" t="s">
        <v>71</v>
      </c>
      <c r="BB419" s="43" t="s">
        <v>69</v>
      </c>
      <c r="BC419" s="51">
        <v>31</v>
      </c>
      <c r="BD419" s="43" t="s">
        <v>70</v>
      </c>
      <c r="BE419" s="9">
        <f t="shared" si="17"/>
        <v>410</v>
      </c>
      <c r="BF419" s="9" t="str">
        <f t="shared" si="16"/>
        <v>..</v>
      </c>
    </row>
    <row r="420" spans="13:58" ht="18" customHeight="1">
      <c r="M420" s="61" t="s">
        <v>93</v>
      </c>
      <c r="N420" s="44"/>
      <c r="O420" s="44"/>
      <c r="P420" s="44"/>
      <c r="Q420" s="45"/>
      <c r="R420" s="46"/>
      <c r="S420" s="46"/>
      <c r="T420" s="46"/>
      <c r="U420" s="44" t="s">
        <v>96</v>
      </c>
      <c r="V420" s="46"/>
      <c r="W420" s="44"/>
      <c r="X420" s="44"/>
      <c r="Y420" s="44"/>
      <c r="Z420" s="44"/>
      <c r="AA420" s="44"/>
      <c r="AB420" s="42"/>
      <c r="AC420" s="47" t="s">
        <v>97</v>
      </c>
      <c r="AD420" s="48"/>
      <c r="AE420" s="43"/>
      <c r="AF420" s="43"/>
      <c r="AG420" s="43"/>
      <c r="AH420" s="43"/>
      <c r="AI420" s="55"/>
      <c r="AJ420" s="52"/>
      <c r="AT420" s="52"/>
      <c r="AU420" s="59"/>
      <c r="AV420" s="58"/>
      <c r="AW420" s="58"/>
      <c r="AX420" s="54" t="s">
        <v>69</v>
      </c>
      <c r="AY420" s="43" t="s">
        <v>70</v>
      </c>
      <c r="AZ420" s="43" t="s">
        <v>70</v>
      </c>
      <c r="BA420" s="43" t="s">
        <v>71</v>
      </c>
      <c r="BB420" s="43" t="s">
        <v>69</v>
      </c>
      <c r="BC420" s="51">
        <v>31</v>
      </c>
      <c r="BD420" s="43" t="s">
        <v>70</v>
      </c>
      <c r="BE420" s="9">
        <f t="shared" si="17"/>
        <v>411</v>
      </c>
      <c r="BF420" s="9" t="str">
        <f t="shared" si="16"/>
        <v>..</v>
      </c>
    </row>
    <row r="421" spans="13:58" ht="18" customHeight="1">
      <c r="M421" s="61" t="s">
        <v>93</v>
      </c>
      <c r="N421" s="44"/>
      <c r="O421" s="44"/>
      <c r="P421" s="44"/>
      <c r="Q421" s="45"/>
      <c r="R421" s="46"/>
      <c r="S421" s="46"/>
      <c r="T421" s="46"/>
      <c r="U421" s="44" t="s">
        <v>96</v>
      </c>
      <c r="V421" s="46"/>
      <c r="W421" s="44"/>
      <c r="X421" s="44"/>
      <c r="Y421" s="44"/>
      <c r="Z421" s="44"/>
      <c r="AA421" s="44"/>
      <c r="AB421" s="42"/>
      <c r="AC421" s="47" t="s">
        <v>97</v>
      </c>
      <c r="AD421" s="48"/>
      <c r="AE421" s="43"/>
      <c r="AF421" s="43"/>
      <c r="AG421" s="43"/>
      <c r="AH421" s="43"/>
      <c r="AI421" s="55"/>
      <c r="AJ421" s="52"/>
      <c r="AT421" s="52"/>
      <c r="AU421" s="59"/>
      <c r="AV421" s="58"/>
      <c r="AW421" s="58"/>
      <c r="AX421" s="54" t="s">
        <v>69</v>
      </c>
      <c r="AY421" s="43" t="s">
        <v>70</v>
      </c>
      <c r="AZ421" s="43" t="s">
        <v>70</v>
      </c>
      <c r="BA421" s="43" t="s">
        <v>71</v>
      </c>
      <c r="BB421" s="43" t="s">
        <v>69</v>
      </c>
      <c r="BC421" s="51">
        <v>31</v>
      </c>
      <c r="BD421" s="43" t="s">
        <v>70</v>
      </c>
      <c r="BE421" s="9">
        <f t="shared" si="17"/>
        <v>412</v>
      </c>
      <c r="BF421" s="9" t="str">
        <f t="shared" si="16"/>
        <v>..</v>
      </c>
    </row>
    <row r="422" spans="13:58" ht="18" customHeight="1">
      <c r="M422" s="61" t="s">
        <v>93</v>
      </c>
      <c r="N422" s="44"/>
      <c r="O422" s="44"/>
      <c r="P422" s="44"/>
      <c r="Q422" s="45"/>
      <c r="R422" s="46"/>
      <c r="S422" s="46"/>
      <c r="T422" s="46"/>
      <c r="U422" s="44" t="s">
        <v>96</v>
      </c>
      <c r="V422" s="46"/>
      <c r="W422" s="44"/>
      <c r="X422" s="44"/>
      <c r="Y422" s="44"/>
      <c r="Z422" s="44"/>
      <c r="AA422" s="44"/>
      <c r="AB422" s="42"/>
      <c r="AC422" s="47" t="s">
        <v>97</v>
      </c>
      <c r="AD422" s="48"/>
      <c r="AE422" s="43"/>
      <c r="AF422" s="43"/>
      <c r="AG422" s="43"/>
      <c r="AH422" s="43"/>
      <c r="AI422" s="55"/>
      <c r="AJ422" s="52"/>
      <c r="AT422" s="52"/>
      <c r="AU422" s="59"/>
      <c r="AV422" s="58"/>
      <c r="AW422" s="58"/>
      <c r="AX422" s="54" t="s">
        <v>69</v>
      </c>
      <c r="AY422" s="43" t="s">
        <v>70</v>
      </c>
      <c r="AZ422" s="43" t="s">
        <v>70</v>
      </c>
      <c r="BA422" s="43" t="s">
        <v>71</v>
      </c>
      <c r="BB422" s="43" t="s">
        <v>69</v>
      </c>
      <c r="BC422" s="51">
        <v>31</v>
      </c>
      <c r="BD422" s="43" t="s">
        <v>70</v>
      </c>
      <c r="BE422" s="9">
        <f t="shared" si="17"/>
        <v>413</v>
      </c>
      <c r="BF422" s="9" t="str">
        <f t="shared" si="16"/>
        <v>..</v>
      </c>
    </row>
    <row r="423" spans="13:58" ht="18" customHeight="1">
      <c r="M423" s="61" t="s">
        <v>93</v>
      </c>
      <c r="N423" s="44"/>
      <c r="O423" s="44"/>
      <c r="P423" s="44"/>
      <c r="Q423" s="45"/>
      <c r="R423" s="46"/>
      <c r="S423" s="46"/>
      <c r="T423" s="46"/>
      <c r="U423" s="44" t="s">
        <v>96</v>
      </c>
      <c r="V423" s="46"/>
      <c r="W423" s="44"/>
      <c r="X423" s="44"/>
      <c r="Y423" s="44"/>
      <c r="Z423" s="44"/>
      <c r="AA423" s="44"/>
      <c r="AB423" s="42"/>
      <c r="AC423" s="47" t="s">
        <v>97</v>
      </c>
      <c r="AD423" s="48"/>
      <c r="AE423" s="43"/>
      <c r="AF423" s="43"/>
      <c r="AG423" s="43"/>
      <c r="AH423" s="43"/>
      <c r="AI423" s="55"/>
      <c r="AJ423" s="52"/>
      <c r="AT423" s="52"/>
      <c r="AU423" s="59"/>
      <c r="AV423" s="58"/>
      <c r="AW423" s="58"/>
      <c r="AX423" s="54" t="s">
        <v>69</v>
      </c>
      <c r="AY423" s="43" t="s">
        <v>70</v>
      </c>
      <c r="AZ423" s="43" t="s">
        <v>70</v>
      </c>
      <c r="BA423" s="43" t="s">
        <v>71</v>
      </c>
      <c r="BB423" s="43" t="s">
        <v>69</v>
      </c>
      <c r="BC423" s="51">
        <v>31</v>
      </c>
      <c r="BD423" s="43" t="s">
        <v>70</v>
      </c>
      <c r="BE423" s="9">
        <f t="shared" si="17"/>
        <v>414</v>
      </c>
      <c r="BF423" s="9" t="str">
        <f t="shared" si="16"/>
        <v>..</v>
      </c>
    </row>
    <row r="424" spans="13:58" ht="18" customHeight="1">
      <c r="M424" s="61" t="s">
        <v>93</v>
      </c>
      <c r="N424" s="44"/>
      <c r="O424" s="44"/>
      <c r="P424" s="44"/>
      <c r="Q424" s="45"/>
      <c r="R424" s="46"/>
      <c r="S424" s="46"/>
      <c r="T424" s="46"/>
      <c r="U424" s="44" t="s">
        <v>96</v>
      </c>
      <c r="V424" s="46"/>
      <c r="W424" s="44"/>
      <c r="X424" s="44"/>
      <c r="Y424" s="44"/>
      <c r="Z424" s="44"/>
      <c r="AA424" s="44"/>
      <c r="AB424" s="42"/>
      <c r="AC424" s="47" t="s">
        <v>97</v>
      </c>
      <c r="AD424" s="48"/>
      <c r="AE424" s="43"/>
      <c r="AF424" s="43"/>
      <c r="AG424" s="43"/>
      <c r="AH424" s="43"/>
      <c r="AI424" s="55"/>
      <c r="AJ424" s="52"/>
      <c r="AT424" s="52"/>
      <c r="AU424" s="59"/>
      <c r="AV424" s="58"/>
      <c r="AW424" s="58"/>
      <c r="AX424" s="54" t="s">
        <v>69</v>
      </c>
      <c r="AY424" s="43" t="s">
        <v>70</v>
      </c>
      <c r="AZ424" s="43" t="s">
        <v>70</v>
      </c>
      <c r="BA424" s="43" t="s">
        <v>71</v>
      </c>
      <c r="BB424" s="43" t="s">
        <v>69</v>
      </c>
      <c r="BC424" s="51">
        <v>31</v>
      </c>
      <c r="BD424" s="43" t="s">
        <v>70</v>
      </c>
      <c r="BE424" s="9">
        <f t="shared" si="17"/>
        <v>415</v>
      </c>
      <c r="BF424" s="9" t="str">
        <f t="shared" si="16"/>
        <v>..</v>
      </c>
    </row>
    <row r="425" spans="13:58" ht="18" customHeight="1">
      <c r="M425" s="61" t="s">
        <v>93</v>
      </c>
      <c r="N425" s="44"/>
      <c r="O425" s="44"/>
      <c r="P425" s="44"/>
      <c r="Q425" s="45"/>
      <c r="R425" s="46"/>
      <c r="S425" s="46"/>
      <c r="T425" s="46"/>
      <c r="U425" s="44" t="s">
        <v>96</v>
      </c>
      <c r="V425" s="46"/>
      <c r="W425" s="44"/>
      <c r="X425" s="44"/>
      <c r="Y425" s="44"/>
      <c r="Z425" s="44"/>
      <c r="AA425" s="44"/>
      <c r="AB425" s="42"/>
      <c r="AC425" s="47" t="s">
        <v>97</v>
      </c>
      <c r="AD425" s="48"/>
      <c r="AE425" s="43"/>
      <c r="AF425" s="43"/>
      <c r="AG425" s="43"/>
      <c r="AH425" s="43"/>
      <c r="AI425" s="55"/>
      <c r="AJ425" s="52"/>
      <c r="AT425" s="52"/>
      <c r="AU425" s="59"/>
      <c r="AV425" s="58"/>
      <c r="AW425" s="58"/>
      <c r="AX425" s="54" t="s">
        <v>69</v>
      </c>
      <c r="AY425" s="43" t="s">
        <v>70</v>
      </c>
      <c r="AZ425" s="43" t="s">
        <v>70</v>
      </c>
      <c r="BA425" s="43" t="s">
        <v>71</v>
      </c>
      <c r="BB425" s="43" t="s">
        <v>69</v>
      </c>
      <c r="BC425" s="51">
        <v>31</v>
      </c>
      <c r="BD425" s="43" t="s">
        <v>70</v>
      </c>
      <c r="BE425" s="9">
        <f t="shared" si="17"/>
        <v>416</v>
      </c>
      <c r="BF425" s="9" t="str">
        <f t="shared" si="16"/>
        <v>..</v>
      </c>
    </row>
    <row r="426" spans="13:58" ht="18" customHeight="1">
      <c r="M426" s="61" t="s">
        <v>93</v>
      </c>
      <c r="N426" s="44"/>
      <c r="O426" s="44"/>
      <c r="P426" s="44"/>
      <c r="Q426" s="45"/>
      <c r="R426" s="46"/>
      <c r="S426" s="46"/>
      <c r="T426" s="46"/>
      <c r="U426" s="44" t="s">
        <v>96</v>
      </c>
      <c r="V426" s="46"/>
      <c r="W426" s="44"/>
      <c r="X426" s="44"/>
      <c r="Y426" s="44"/>
      <c r="Z426" s="44"/>
      <c r="AA426" s="44"/>
      <c r="AB426" s="42"/>
      <c r="AC426" s="47" t="s">
        <v>97</v>
      </c>
      <c r="AD426" s="48"/>
      <c r="AE426" s="43"/>
      <c r="AF426" s="43"/>
      <c r="AG426" s="43"/>
      <c r="AH426" s="43"/>
      <c r="AI426" s="55"/>
      <c r="AJ426" s="52"/>
      <c r="AT426" s="52"/>
      <c r="AU426" s="59"/>
      <c r="AV426" s="58"/>
      <c r="AW426" s="58"/>
      <c r="AX426" s="54" t="s">
        <v>69</v>
      </c>
      <c r="AY426" s="43" t="s">
        <v>70</v>
      </c>
      <c r="AZ426" s="43" t="s">
        <v>70</v>
      </c>
      <c r="BA426" s="43" t="s">
        <v>71</v>
      </c>
      <c r="BB426" s="43" t="s">
        <v>69</v>
      </c>
      <c r="BC426" s="51">
        <v>31</v>
      </c>
      <c r="BD426" s="43" t="s">
        <v>70</v>
      </c>
      <c r="BE426" s="9">
        <f t="shared" si="17"/>
        <v>417</v>
      </c>
      <c r="BF426" s="9" t="str">
        <f t="shared" si="16"/>
        <v>..</v>
      </c>
    </row>
    <row r="427" spans="13:58" ht="18" customHeight="1">
      <c r="M427" s="61" t="s">
        <v>93</v>
      </c>
      <c r="N427" s="44"/>
      <c r="O427" s="44"/>
      <c r="P427" s="44"/>
      <c r="Q427" s="45"/>
      <c r="R427" s="46"/>
      <c r="S427" s="46"/>
      <c r="T427" s="46"/>
      <c r="U427" s="44" t="s">
        <v>96</v>
      </c>
      <c r="V427" s="46"/>
      <c r="W427" s="44"/>
      <c r="X427" s="44"/>
      <c r="Y427" s="44"/>
      <c r="Z427" s="44"/>
      <c r="AA427" s="44"/>
      <c r="AB427" s="42"/>
      <c r="AC427" s="47" t="s">
        <v>97</v>
      </c>
      <c r="AD427" s="48"/>
      <c r="AE427" s="43"/>
      <c r="AF427" s="43"/>
      <c r="AG427" s="43"/>
      <c r="AH427" s="43"/>
      <c r="AI427" s="55"/>
      <c r="AJ427" s="52"/>
      <c r="AT427" s="52"/>
      <c r="AU427" s="59"/>
      <c r="AV427" s="58"/>
      <c r="AW427" s="58"/>
      <c r="AX427" s="54" t="s">
        <v>69</v>
      </c>
      <c r="AY427" s="43" t="s">
        <v>70</v>
      </c>
      <c r="AZ427" s="43" t="s">
        <v>70</v>
      </c>
      <c r="BA427" s="43" t="s">
        <v>71</v>
      </c>
      <c r="BB427" s="43" t="s">
        <v>69</v>
      </c>
      <c r="BC427" s="51">
        <v>31</v>
      </c>
      <c r="BD427" s="43" t="s">
        <v>70</v>
      </c>
      <c r="BE427" s="9">
        <f t="shared" si="17"/>
        <v>418</v>
      </c>
      <c r="BF427" s="9" t="str">
        <f t="shared" si="16"/>
        <v>..</v>
      </c>
    </row>
    <row r="428" spans="13:58" ht="18" customHeight="1">
      <c r="M428" s="61" t="s">
        <v>93</v>
      </c>
      <c r="N428" s="44"/>
      <c r="O428" s="44"/>
      <c r="P428" s="44"/>
      <c r="Q428" s="45"/>
      <c r="R428" s="46"/>
      <c r="S428" s="46"/>
      <c r="T428" s="46"/>
      <c r="U428" s="44" t="s">
        <v>96</v>
      </c>
      <c r="V428" s="46"/>
      <c r="W428" s="44"/>
      <c r="X428" s="44"/>
      <c r="Y428" s="44"/>
      <c r="Z428" s="44"/>
      <c r="AA428" s="44"/>
      <c r="AB428" s="42"/>
      <c r="AC428" s="47" t="s">
        <v>97</v>
      </c>
      <c r="AD428" s="48"/>
      <c r="AE428" s="43"/>
      <c r="AF428" s="43"/>
      <c r="AG428" s="43"/>
      <c r="AH428" s="43"/>
      <c r="AI428" s="55"/>
      <c r="AJ428" s="52"/>
      <c r="AT428" s="52"/>
      <c r="AU428" s="59"/>
      <c r="AV428" s="58"/>
      <c r="AW428" s="58"/>
      <c r="AX428" s="54" t="s">
        <v>69</v>
      </c>
      <c r="AY428" s="43" t="s">
        <v>70</v>
      </c>
      <c r="AZ428" s="43" t="s">
        <v>70</v>
      </c>
      <c r="BA428" s="43" t="s">
        <v>71</v>
      </c>
      <c r="BB428" s="43" t="s">
        <v>69</v>
      </c>
      <c r="BC428" s="51">
        <v>31</v>
      </c>
      <c r="BD428" s="43" t="s">
        <v>70</v>
      </c>
      <c r="BE428" s="9">
        <f t="shared" si="17"/>
        <v>419</v>
      </c>
      <c r="BF428" s="9" t="str">
        <f t="shared" si="16"/>
        <v>..</v>
      </c>
    </row>
    <row r="429" spans="13:58" ht="18" customHeight="1">
      <c r="M429" s="61" t="s">
        <v>93</v>
      </c>
      <c r="N429" s="44"/>
      <c r="O429" s="44"/>
      <c r="P429" s="44"/>
      <c r="Q429" s="45"/>
      <c r="R429" s="46"/>
      <c r="S429" s="46"/>
      <c r="T429" s="46"/>
      <c r="U429" s="44" t="s">
        <v>96</v>
      </c>
      <c r="V429" s="46"/>
      <c r="W429" s="44"/>
      <c r="X429" s="44"/>
      <c r="Y429" s="44"/>
      <c r="Z429" s="44"/>
      <c r="AA429" s="44"/>
      <c r="AB429" s="42"/>
      <c r="AC429" s="47" t="s">
        <v>97</v>
      </c>
      <c r="AD429" s="48"/>
      <c r="AE429" s="43"/>
      <c r="AF429" s="43"/>
      <c r="AG429" s="43"/>
      <c r="AH429" s="43"/>
      <c r="AI429" s="55"/>
      <c r="AJ429" s="52"/>
      <c r="AT429" s="52"/>
      <c r="AU429" s="59"/>
      <c r="AV429" s="58"/>
      <c r="AW429" s="58"/>
      <c r="AX429" s="54" t="s">
        <v>69</v>
      </c>
      <c r="AY429" s="43" t="s">
        <v>70</v>
      </c>
      <c r="AZ429" s="43" t="s">
        <v>70</v>
      </c>
      <c r="BA429" s="43" t="s">
        <v>71</v>
      </c>
      <c r="BB429" s="43" t="s">
        <v>69</v>
      </c>
      <c r="BC429" s="51">
        <v>31</v>
      </c>
      <c r="BD429" s="43" t="s">
        <v>70</v>
      </c>
      <c r="BE429" s="9">
        <f t="shared" si="17"/>
        <v>420</v>
      </c>
      <c r="BF429" s="9" t="str">
        <f t="shared" si="16"/>
        <v>..</v>
      </c>
    </row>
    <row r="430" spans="13:58" ht="18" customHeight="1">
      <c r="M430" s="61" t="s">
        <v>93</v>
      </c>
      <c r="N430" s="44"/>
      <c r="O430" s="44"/>
      <c r="P430" s="44"/>
      <c r="Q430" s="45"/>
      <c r="R430" s="46"/>
      <c r="S430" s="46"/>
      <c r="T430" s="46"/>
      <c r="U430" s="44" t="s">
        <v>96</v>
      </c>
      <c r="V430" s="46"/>
      <c r="W430" s="44"/>
      <c r="X430" s="44"/>
      <c r="Y430" s="44"/>
      <c r="Z430" s="44"/>
      <c r="AA430" s="44"/>
      <c r="AB430" s="42"/>
      <c r="AC430" s="47" t="s">
        <v>97</v>
      </c>
      <c r="AD430" s="48"/>
      <c r="AE430" s="43"/>
      <c r="AF430" s="43"/>
      <c r="AG430" s="43"/>
      <c r="AH430" s="43"/>
      <c r="AI430" s="55"/>
      <c r="AJ430" s="52"/>
      <c r="AT430" s="52"/>
      <c r="AU430" s="59"/>
      <c r="AV430" s="58"/>
      <c r="AW430" s="58"/>
      <c r="AX430" s="54" t="s">
        <v>69</v>
      </c>
      <c r="AY430" s="43" t="s">
        <v>70</v>
      </c>
      <c r="AZ430" s="43" t="s">
        <v>70</v>
      </c>
      <c r="BA430" s="43" t="s">
        <v>71</v>
      </c>
      <c r="BB430" s="43" t="s">
        <v>69</v>
      </c>
      <c r="BC430" s="51">
        <v>31</v>
      </c>
      <c r="BD430" s="43" t="s">
        <v>70</v>
      </c>
      <c r="BE430" s="9">
        <f t="shared" si="17"/>
        <v>421</v>
      </c>
      <c r="BF430" s="9" t="str">
        <f t="shared" si="16"/>
        <v>..</v>
      </c>
    </row>
    <row r="431" spans="13:58" ht="18" customHeight="1">
      <c r="M431" s="61" t="s">
        <v>93</v>
      </c>
      <c r="N431" s="44"/>
      <c r="O431" s="44"/>
      <c r="P431" s="44"/>
      <c r="Q431" s="45"/>
      <c r="R431" s="46"/>
      <c r="S431" s="46"/>
      <c r="T431" s="46"/>
      <c r="U431" s="44" t="s">
        <v>96</v>
      </c>
      <c r="V431" s="46"/>
      <c r="W431" s="44"/>
      <c r="X431" s="44"/>
      <c r="Y431" s="44"/>
      <c r="Z431" s="44"/>
      <c r="AA431" s="44"/>
      <c r="AB431" s="42"/>
      <c r="AC431" s="47" t="s">
        <v>97</v>
      </c>
      <c r="AD431" s="48"/>
      <c r="AE431" s="43"/>
      <c r="AF431" s="43"/>
      <c r="AG431" s="43"/>
      <c r="AH431" s="43"/>
      <c r="AI431" s="55"/>
      <c r="AJ431" s="52"/>
      <c r="AT431" s="52"/>
      <c r="AU431" s="59"/>
      <c r="AV431" s="58"/>
      <c r="AW431" s="58"/>
      <c r="AX431" s="54" t="s">
        <v>69</v>
      </c>
      <c r="AY431" s="43" t="s">
        <v>70</v>
      </c>
      <c r="AZ431" s="43" t="s">
        <v>70</v>
      </c>
      <c r="BA431" s="43" t="s">
        <v>71</v>
      </c>
      <c r="BB431" s="43" t="s">
        <v>69</v>
      </c>
      <c r="BC431" s="51">
        <v>31</v>
      </c>
      <c r="BD431" s="43" t="s">
        <v>70</v>
      </c>
      <c r="BE431" s="9">
        <f t="shared" si="17"/>
        <v>422</v>
      </c>
      <c r="BF431" s="9" t="str">
        <f t="shared" si="16"/>
        <v>..</v>
      </c>
    </row>
    <row r="432" spans="13:58" ht="18" customHeight="1">
      <c r="M432" s="61" t="s">
        <v>93</v>
      </c>
      <c r="N432" s="44"/>
      <c r="O432" s="44"/>
      <c r="P432" s="44"/>
      <c r="Q432" s="45"/>
      <c r="R432" s="46"/>
      <c r="S432" s="46"/>
      <c r="T432" s="46"/>
      <c r="U432" s="44" t="s">
        <v>96</v>
      </c>
      <c r="V432" s="46"/>
      <c r="W432" s="44"/>
      <c r="X432" s="44"/>
      <c r="Y432" s="44"/>
      <c r="Z432" s="44"/>
      <c r="AA432" s="44"/>
      <c r="AB432" s="42"/>
      <c r="AC432" s="47" t="s">
        <v>97</v>
      </c>
      <c r="AD432" s="48"/>
      <c r="AE432" s="43"/>
      <c r="AF432" s="43"/>
      <c r="AG432" s="43"/>
      <c r="AH432" s="43"/>
      <c r="AI432" s="55"/>
      <c r="AJ432" s="52"/>
      <c r="AT432" s="52"/>
      <c r="AU432" s="59"/>
      <c r="AV432" s="58"/>
      <c r="AW432" s="58"/>
      <c r="AX432" s="54" t="s">
        <v>69</v>
      </c>
      <c r="AY432" s="43" t="s">
        <v>70</v>
      </c>
      <c r="AZ432" s="43" t="s">
        <v>70</v>
      </c>
      <c r="BA432" s="43" t="s">
        <v>71</v>
      </c>
      <c r="BB432" s="43" t="s">
        <v>69</v>
      </c>
      <c r="BC432" s="51">
        <v>31</v>
      </c>
      <c r="BD432" s="43" t="s">
        <v>70</v>
      </c>
      <c r="BE432" s="9">
        <f t="shared" si="17"/>
        <v>423</v>
      </c>
      <c r="BF432" s="9" t="str">
        <f t="shared" si="16"/>
        <v>..</v>
      </c>
    </row>
    <row r="433" spans="13:58" ht="18" customHeight="1">
      <c r="M433" s="61" t="s">
        <v>93</v>
      </c>
      <c r="N433" s="44"/>
      <c r="O433" s="44"/>
      <c r="P433" s="44"/>
      <c r="Q433" s="45"/>
      <c r="R433" s="46"/>
      <c r="S433" s="46"/>
      <c r="T433" s="46"/>
      <c r="U433" s="44" t="s">
        <v>96</v>
      </c>
      <c r="V433" s="46"/>
      <c r="W433" s="44"/>
      <c r="X433" s="44"/>
      <c r="Y433" s="44"/>
      <c r="Z433" s="44"/>
      <c r="AA433" s="44"/>
      <c r="AB433" s="42"/>
      <c r="AC433" s="47" t="s">
        <v>97</v>
      </c>
      <c r="AD433" s="48"/>
      <c r="AE433" s="43"/>
      <c r="AF433" s="43"/>
      <c r="AG433" s="43"/>
      <c r="AH433" s="43"/>
      <c r="AI433" s="55"/>
      <c r="AJ433" s="52"/>
      <c r="AT433" s="52"/>
      <c r="AU433" s="59"/>
      <c r="AV433" s="58"/>
      <c r="AW433" s="58"/>
      <c r="AX433" s="54" t="s">
        <v>69</v>
      </c>
      <c r="AY433" s="43" t="s">
        <v>70</v>
      </c>
      <c r="AZ433" s="43" t="s">
        <v>70</v>
      </c>
      <c r="BA433" s="43" t="s">
        <v>71</v>
      </c>
      <c r="BB433" s="43" t="s">
        <v>69</v>
      </c>
      <c r="BC433" s="51">
        <v>31</v>
      </c>
      <c r="BD433" s="43" t="s">
        <v>70</v>
      </c>
      <c r="BE433" s="9">
        <f t="shared" si="17"/>
        <v>424</v>
      </c>
      <c r="BF433" s="9" t="str">
        <f t="shared" si="16"/>
        <v>..</v>
      </c>
    </row>
    <row r="434" spans="13:58" ht="18" customHeight="1">
      <c r="M434" s="61" t="s">
        <v>93</v>
      </c>
      <c r="N434" s="44"/>
      <c r="O434" s="44"/>
      <c r="P434" s="44"/>
      <c r="Q434" s="45"/>
      <c r="R434" s="46"/>
      <c r="S434" s="46"/>
      <c r="T434" s="46"/>
      <c r="U434" s="44" t="s">
        <v>96</v>
      </c>
      <c r="V434" s="46"/>
      <c r="W434" s="44"/>
      <c r="X434" s="44"/>
      <c r="Y434" s="44"/>
      <c r="Z434" s="44"/>
      <c r="AA434" s="44"/>
      <c r="AB434" s="42"/>
      <c r="AC434" s="47" t="s">
        <v>97</v>
      </c>
      <c r="AD434" s="48"/>
      <c r="AE434" s="43"/>
      <c r="AF434" s="43"/>
      <c r="AG434" s="43"/>
      <c r="AH434" s="43"/>
      <c r="AI434" s="55"/>
      <c r="AJ434" s="52"/>
      <c r="AT434" s="52"/>
      <c r="AU434" s="59"/>
      <c r="AV434" s="58"/>
      <c r="AW434" s="58"/>
      <c r="AX434" s="54" t="s">
        <v>69</v>
      </c>
      <c r="AY434" s="43" t="s">
        <v>70</v>
      </c>
      <c r="AZ434" s="43" t="s">
        <v>70</v>
      </c>
      <c r="BA434" s="43" t="s">
        <v>71</v>
      </c>
      <c r="BB434" s="43" t="s">
        <v>69</v>
      </c>
      <c r="BC434" s="51">
        <v>31</v>
      </c>
      <c r="BD434" s="43" t="s">
        <v>70</v>
      </c>
      <c r="BE434" s="9">
        <f t="shared" si="17"/>
        <v>425</v>
      </c>
      <c r="BF434" s="9" t="str">
        <f t="shared" si="16"/>
        <v>..</v>
      </c>
    </row>
    <row r="435" spans="13:58" ht="18" customHeight="1">
      <c r="M435" s="61" t="s">
        <v>93</v>
      </c>
      <c r="N435" s="44"/>
      <c r="O435" s="44"/>
      <c r="P435" s="44"/>
      <c r="Q435" s="45"/>
      <c r="R435" s="46"/>
      <c r="S435" s="46"/>
      <c r="T435" s="46"/>
      <c r="U435" s="44" t="s">
        <v>96</v>
      </c>
      <c r="V435" s="46"/>
      <c r="W435" s="44"/>
      <c r="X435" s="44"/>
      <c r="Y435" s="44"/>
      <c r="Z435" s="44"/>
      <c r="AA435" s="44"/>
      <c r="AB435" s="42"/>
      <c r="AC435" s="47" t="s">
        <v>97</v>
      </c>
      <c r="AD435" s="48"/>
      <c r="AE435" s="43"/>
      <c r="AF435" s="43"/>
      <c r="AG435" s="43"/>
      <c r="AH435" s="43"/>
      <c r="AI435" s="55"/>
      <c r="AJ435" s="52"/>
      <c r="AT435" s="52"/>
      <c r="AU435" s="59"/>
      <c r="AV435" s="58"/>
      <c r="AW435" s="58"/>
      <c r="AX435" s="54" t="s">
        <v>69</v>
      </c>
      <c r="AY435" s="43" t="s">
        <v>70</v>
      </c>
      <c r="AZ435" s="43" t="s">
        <v>70</v>
      </c>
      <c r="BA435" s="43" t="s">
        <v>71</v>
      </c>
      <c r="BB435" s="43" t="s">
        <v>69</v>
      </c>
      <c r="BC435" s="51">
        <v>31</v>
      </c>
      <c r="BD435" s="43" t="s">
        <v>70</v>
      </c>
      <c r="BE435" s="9">
        <f t="shared" si="17"/>
        <v>426</v>
      </c>
      <c r="BF435" s="9" t="str">
        <f t="shared" si="16"/>
        <v>..</v>
      </c>
    </row>
    <row r="436" spans="13:58" ht="18" customHeight="1">
      <c r="M436" s="61" t="s">
        <v>93</v>
      </c>
      <c r="N436" s="44"/>
      <c r="O436" s="44"/>
      <c r="P436" s="44"/>
      <c r="Q436" s="45"/>
      <c r="R436" s="46"/>
      <c r="S436" s="46"/>
      <c r="T436" s="46"/>
      <c r="U436" s="44" t="s">
        <v>96</v>
      </c>
      <c r="V436" s="46"/>
      <c r="W436" s="44"/>
      <c r="X436" s="44"/>
      <c r="Y436" s="44"/>
      <c r="Z436" s="44"/>
      <c r="AA436" s="44"/>
      <c r="AB436" s="42"/>
      <c r="AC436" s="47" t="s">
        <v>97</v>
      </c>
      <c r="AD436" s="48"/>
      <c r="AE436" s="43"/>
      <c r="AF436" s="43"/>
      <c r="AG436" s="43"/>
      <c r="AH436" s="43"/>
      <c r="AI436" s="55"/>
      <c r="AJ436" s="52"/>
      <c r="AT436" s="52"/>
      <c r="AU436" s="59"/>
      <c r="AV436" s="58"/>
      <c r="AW436" s="58"/>
      <c r="AX436" s="54" t="s">
        <v>69</v>
      </c>
      <c r="AY436" s="43" t="s">
        <v>70</v>
      </c>
      <c r="AZ436" s="43" t="s">
        <v>70</v>
      </c>
      <c r="BA436" s="43" t="s">
        <v>71</v>
      </c>
      <c r="BB436" s="43" t="s">
        <v>69</v>
      </c>
      <c r="BC436" s="51">
        <v>31</v>
      </c>
      <c r="BD436" s="43" t="s">
        <v>70</v>
      </c>
      <c r="BE436" s="9">
        <f t="shared" si="17"/>
        <v>427</v>
      </c>
      <c r="BF436" s="9" t="str">
        <f t="shared" si="16"/>
        <v>..</v>
      </c>
    </row>
    <row r="437" spans="13:58" ht="18" customHeight="1">
      <c r="M437" s="61" t="s">
        <v>93</v>
      </c>
      <c r="N437" s="44"/>
      <c r="O437" s="44"/>
      <c r="P437" s="44"/>
      <c r="Q437" s="45"/>
      <c r="R437" s="46"/>
      <c r="S437" s="46"/>
      <c r="T437" s="46"/>
      <c r="U437" s="44" t="s">
        <v>96</v>
      </c>
      <c r="V437" s="46"/>
      <c r="W437" s="44"/>
      <c r="X437" s="44"/>
      <c r="Y437" s="44"/>
      <c r="Z437" s="44"/>
      <c r="AA437" s="44"/>
      <c r="AB437" s="42"/>
      <c r="AC437" s="47" t="s">
        <v>97</v>
      </c>
      <c r="AD437" s="48"/>
      <c r="AE437" s="43"/>
      <c r="AF437" s="43"/>
      <c r="AG437" s="43"/>
      <c r="AH437" s="43"/>
      <c r="AI437" s="55"/>
      <c r="AJ437" s="52"/>
      <c r="AT437" s="52"/>
      <c r="AU437" s="59"/>
      <c r="AV437" s="58"/>
      <c r="AW437" s="58"/>
      <c r="AX437" s="54" t="s">
        <v>69</v>
      </c>
      <c r="AY437" s="43" t="s">
        <v>70</v>
      </c>
      <c r="AZ437" s="43" t="s">
        <v>70</v>
      </c>
      <c r="BA437" s="43" t="s">
        <v>71</v>
      </c>
      <c r="BB437" s="43" t="s">
        <v>69</v>
      </c>
      <c r="BC437" s="51">
        <v>31</v>
      </c>
      <c r="BD437" s="43" t="s">
        <v>70</v>
      </c>
      <c r="BE437" s="9">
        <f t="shared" si="17"/>
        <v>428</v>
      </c>
      <c r="BF437" s="9" t="str">
        <f t="shared" si="16"/>
        <v>..</v>
      </c>
    </row>
    <row r="438" spans="13:58" ht="18" customHeight="1">
      <c r="M438" s="61" t="s">
        <v>93</v>
      </c>
      <c r="N438" s="44"/>
      <c r="O438" s="44"/>
      <c r="P438" s="44"/>
      <c r="Q438" s="45"/>
      <c r="R438" s="46"/>
      <c r="S438" s="46"/>
      <c r="T438" s="46"/>
      <c r="U438" s="44" t="s">
        <v>96</v>
      </c>
      <c r="V438" s="46"/>
      <c r="W438" s="44"/>
      <c r="X438" s="44"/>
      <c r="Y438" s="44"/>
      <c r="Z438" s="44"/>
      <c r="AA438" s="44"/>
      <c r="AB438" s="42"/>
      <c r="AC438" s="47" t="s">
        <v>97</v>
      </c>
      <c r="AD438" s="48"/>
      <c r="AE438" s="43"/>
      <c r="AF438" s="43"/>
      <c r="AG438" s="43"/>
      <c r="AH438" s="43"/>
      <c r="AI438" s="55"/>
      <c r="AJ438" s="52"/>
      <c r="AT438" s="52"/>
      <c r="AU438" s="59"/>
      <c r="AV438" s="58"/>
      <c r="AW438" s="58"/>
      <c r="AX438" s="54" t="s">
        <v>69</v>
      </c>
      <c r="AY438" s="43" t="s">
        <v>70</v>
      </c>
      <c r="AZ438" s="43" t="s">
        <v>70</v>
      </c>
      <c r="BA438" s="43" t="s">
        <v>71</v>
      </c>
      <c r="BB438" s="43" t="s">
        <v>69</v>
      </c>
      <c r="BC438" s="51">
        <v>31</v>
      </c>
      <c r="BD438" s="43" t="s">
        <v>70</v>
      </c>
      <c r="BE438" s="9">
        <f t="shared" si="17"/>
        <v>429</v>
      </c>
      <c r="BF438" s="9" t="str">
        <f t="shared" si="16"/>
        <v>..</v>
      </c>
    </row>
    <row r="439" spans="13:58" ht="18" customHeight="1">
      <c r="M439" s="61" t="s">
        <v>93</v>
      </c>
      <c r="N439" s="44"/>
      <c r="O439" s="44"/>
      <c r="P439" s="44"/>
      <c r="Q439" s="45"/>
      <c r="R439" s="46"/>
      <c r="S439" s="46"/>
      <c r="T439" s="46"/>
      <c r="U439" s="44" t="s">
        <v>96</v>
      </c>
      <c r="V439" s="46"/>
      <c r="W439" s="44"/>
      <c r="X439" s="44"/>
      <c r="Y439" s="44"/>
      <c r="Z439" s="44"/>
      <c r="AA439" s="44"/>
      <c r="AB439" s="42"/>
      <c r="AC439" s="47" t="s">
        <v>97</v>
      </c>
      <c r="AD439" s="48"/>
      <c r="AE439" s="43"/>
      <c r="AF439" s="43"/>
      <c r="AG439" s="43"/>
      <c r="AH439" s="43"/>
      <c r="AI439" s="55"/>
      <c r="AJ439" s="52"/>
      <c r="AT439" s="52"/>
      <c r="AU439" s="59"/>
      <c r="AV439" s="58"/>
      <c r="AW439" s="58"/>
      <c r="AX439" s="54" t="s">
        <v>69</v>
      </c>
      <c r="AY439" s="43" t="s">
        <v>70</v>
      </c>
      <c r="AZ439" s="43" t="s">
        <v>70</v>
      </c>
      <c r="BA439" s="43" t="s">
        <v>71</v>
      </c>
      <c r="BB439" s="43" t="s">
        <v>69</v>
      </c>
      <c r="BC439" s="51">
        <v>31</v>
      </c>
      <c r="BD439" s="43" t="s">
        <v>70</v>
      </c>
      <c r="BE439" s="9">
        <f t="shared" si="17"/>
        <v>430</v>
      </c>
      <c r="BF439" s="9" t="str">
        <f t="shared" si="16"/>
        <v>..</v>
      </c>
    </row>
    <row r="440" spans="13:58" ht="18" customHeight="1">
      <c r="M440" s="61" t="s">
        <v>93</v>
      </c>
      <c r="N440" s="44"/>
      <c r="O440" s="44"/>
      <c r="P440" s="44"/>
      <c r="Q440" s="45"/>
      <c r="R440" s="46"/>
      <c r="S440" s="46"/>
      <c r="T440" s="46"/>
      <c r="U440" s="44" t="s">
        <v>96</v>
      </c>
      <c r="V440" s="46"/>
      <c r="W440" s="44"/>
      <c r="X440" s="44"/>
      <c r="Y440" s="44"/>
      <c r="Z440" s="44"/>
      <c r="AA440" s="44"/>
      <c r="AB440" s="42"/>
      <c r="AC440" s="47" t="s">
        <v>97</v>
      </c>
      <c r="AD440" s="48"/>
      <c r="AE440" s="43"/>
      <c r="AF440" s="43"/>
      <c r="AG440" s="43"/>
      <c r="AH440" s="43"/>
      <c r="AI440" s="55"/>
      <c r="AJ440" s="52"/>
      <c r="AT440" s="52"/>
      <c r="AU440" s="59"/>
      <c r="AV440" s="58"/>
      <c r="AW440" s="58"/>
      <c r="AX440" s="54" t="s">
        <v>69</v>
      </c>
      <c r="AY440" s="43" t="s">
        <v>70</v>
      </c>
      <c r="AZ440" s="43" t="s">
        <v>70</v>
      </c>
      <c r="BA440" s="43" t="s">
        <v>71</v>
      </c>
      <c r="BB440" s="43" t="s">
        <v>69</v>
      </c>
      <c r="BC440" s="51">
        <v>31</v>
      </c>
      <c r="BD440" s="43" t="s">
        <v>70</v>
      </c>
      <c r="BE440" s="9">
        <f t="shared" si="17"/>
        <v>431</v>
      </c>
      <c r="BF440" s="9" t="str">
        <f t="shared" si="16"/>
        <v>..</v>
      </c>
    </row>
    <row r="441" spans="13:58" ht="18" customHeight="1">
      <c r="M441" s="61" t="s">
        <v>93</v>
      </c>
      <c r="N441" s="44"/>
      <c r="O441" s="44"/>
      <c r="P441" s="44"/>
      <c r="Q441" s="45"/>
      <c r="R441" s="46"/>
      <c r="S441" s="46"/>
      <c r="T441" s="46"/>
      <c r="U441" s="44" t="s">
        <v>96</v>
      </c>
      <c r="V441" s="46"/>
      <c r="W441" s="44"/>
      <c r="X441" s="44"/>
      <c r="Y441" s="44"/>
      <c r="Z441" s="44"/>
      <c r="AA441" s="44"/>
      <c r="AB441" s="42"/>
      <c r="AC441" s="47" t="s">
        <v>97</v>
      </c>
      <c r="AD441" s="48"/>
      <c r="AE441" s="43"/>
      <c r="AF441" s="43"/>
      <c r="AG441" s="43"/>
      <c r="AH441" s="43"/>
      <c r="AI441" s="55"/>
      <c r="AJ441" s="52"/>
      <c r="AT441" s="52"/>
      <c r="AU441" s="59"/>
      <c r="AV441" s="58"/>
      <c r="AW441" s="58"/>
      <c r="AX441" s="54" t="s">
        <v>69</v>
      </c>
      <c r="AY441" s="43" t="s">
        <v>70</v>
      </c>
      <c r="AZ441" s="43" t="s">
        <v>70</v>
      </c>
      <c r="BA441" s="43" t="s">
        <v>71</v>
      </c>
      <c r="BB441" s="43" t="s">
        <v>69</v>
      </c>
      <c r="BC441" s="51">
        <v>31</v>
      </c>
      <c r="BD441" s="43" t="s">
        <v>70</v>
      </c>
      <c r="BE441" s="9">
        <f t="shared" si="17"/>
        <v>432</v>
      </c>
      <c r="BF441" s="9" t="str">
        <f t="shared" si="16"/>
        <v>..</v>
      </c>
    </row>
    <row r="442" spans="13:58" ht="18" customHeight="1">
      <c r="M442" s="61" t="s">
        <v>93</v>
      </c>
      <c r="N442" s="44"/>
      <c r="O442" s="44"/>
      <c r="P442" s="44"/>
      <c r="Q442" s="45"/>
      <c r="R442" s="46"/>
      <c r="S442" s="46"/>
      <c r="T442" s="46"/>
      <c r="U442" s="44" t="s">
        <v>96</v>
      </c>
      <c r="V442" s="46"/>
      <c r="W442" s="44"/>
      <c r="X442" s="44"/>
      <c r="Y442" s="44"/>
      <c r="Z442" s="44"/>
      <c r="AA442" s="44"/>
      <c r="AB442" s="42"/>
      <c r="AC442" s="47" t="s">
        <v>97</v>
      </c>
      <c r="AD442" s="48"/>
      <c r="AE442" s="43"/>
      <c r="AF442" s="43"/>
      <c r="AG442" s="43"/>
      <c r="AH442" s="43"/>
      <c r="AI442" s="55"/>
      <c r="AJ442" s="52"/>
      <c r="AT442" s="52"/>
      <c r="AU442" s="59"/>
      <c r="AV442" s="58"/>
      <c r="AW442" s="58"/>
      <c r="AX442" s="54" t="s">
        <v>69</v>
      </c>
      <c r="AY442" s="43" t="s">
        <v>70</v>
      </c>
      <c r="AZ442" s="43" t="s">
        <v>70</v>
      </c>
      <c r="BA442" s="43" t="s">
        <v>71</v>
      </c>
      <c r="BB442" s="43" t="s">
        <v>69</v>
      </c>
      <c r="BC442" s="51">
        <v>31</v>
      </c>
      <c r="BD442" s="43" t="s">
        <v>70</v>
      </c>
      <c r="BE442" s="9">
        <f t="shared" si="17"/>
        <v>433</v>
      </c>
      <c r="BF442" s="9" t="str">
        <f t="shared" si="16"/>
        <v>..</v>
      </c>
    </row>
    <row r="443" spans="13:58" ht="18" customHeight="1">
      <c r="M443" s="61" t="s">
        <v>93</v>
      </c>
      <c r="N443" s="44"/>
      <c r="O443" s="44"/>
      <c r="P443" s="44"/>
      <c r="Q443" s="45"/>
      <c r="R443" s="46"/>
      <c r="S443" s="46"/>
      <c r="T443" s="46"/>
      <c r="U443" s="44" t="s">
        <v>96</v>
      </c>
      <c r="V443" s="46"/>
      <c r="W443" s="44"/>
      <c r="X443" s="44"/>
      <c r="Y443" s="44"/>
      <c r="Z443" s="44"/>
      <c r="AA443" s="44"/>
      <c r="AB443" s="42"/>
      <c r="AC443" s="47" t="s">
        <v>97</v>
      </c>
      <c r="AD443" s="48"/>
      <c r="AE443" s="43"/>
      <c r="AF443" s="43"/>
      <c r="AG443" s="43"/>
      <c r="AH443" s="43"/>
      <c r="AI443" s="55"/>
      <c r="AJ443" s="52"/>
      <c r="AT443" s="52"/>
      <c r="AU443" s="59"/>
      <c r="AV443" s="58"/>
      <c r="AW443" s="58"/>
      <c r="AX443" s="54" t="s">
        <v>69</v>
      </c>
      <c r="AY443" s="43" t="s">
        <v>70</v>
      </c>
      <c r="AZ443" s="43" t="s">
        <v>70</v>
      </c>
      <c r="BA443" s="43" t="s">
        <v>71</v>
      </c>
      <c r="BB443" s="43" t="s">
        <v>69</v>
      </c>
      <c r="BC443" s="51">
        <v>31</v>
      </c>
      <c r="BD443" s="43" t="s">
        <v>70</v>
      </c>
      <c r="BE443" s="9">
        <f t="shared" si="17"/>
        <v>434</v>
      </c>
      <c r="BF443" s="9" t="str">
        <f t="shared" si="16"/>
        <v>..</v>
      </c>
    </row>
    <row r="444" spans="13:58" ht="18" customHeight="1">
      <c r="M444" s="61" t="s">
        <v>93</v>
      </c>
      <c r="N444" s="44"/>
      <c r="O444" s="44"/>
      <c r="P444" s="44"/>
      <c r="Q444" s="45"/>
      <c r="R444" s="46"/>
      <c r="S444" s="46"/>
      <c r="T444" s="46"/>
      <c r="U444" s="44" t="s">
        <v>96</v>
      </c>
      <c r="V444" s="46"/>
      <c r="W444" s="44"/>
      <c r="X444" s="44"/>
      <c r="Y444" s="44"/>
      <c r="Z444" s="44"/>
      <c r="AA444" s="44"/>
      <c r="AB444" s="42"/>
      <c r="AC444" s="47" t="s">
        <v>97</v>
      </c>
      <c r="AD444" s="48"/>
      <c r="AE444" s="43"/>
      <c r="AF444" s="43"/>
      <c r="AG444" s="43"/>
      <c r="AH444" s="43"/>
      <c r="AI444" s="55"/>
      <c r="AJ444" s="52"/>
      <c r="AT444" s="52"/>
      <c r="AU444" s="59"/>
      <c r="AV444" s="58"/>
      <c r="AW444" s="58"/>
      <c r="AX444" s="54" t="s">
        <v>69</v>
      </c>
      <c r="AY444" s="43" t="s">
        <v>70</v>
      </c>
      <c r="AZ444" s="43" t="s">
        <v>70</v>
      </c>
      <c r="BA444" s="43" t="s">
        <v>71</v>
      </c>
      <c r="BB444" s="43" t="s">
        <v>69</v>
      </c>
      <c r="BC444" s="51">
        <v>31</v>
      </c>
      <c r="BD444" s="43" t="s">
        <v>70</v>
      </c>
      <c r="BE444" s="9">
        <f t="shared" si="17"/>
        <v>435</v>
      </c>
      <c r="BF444" s="9" t="str">
        <f t="shared" si="16"/>
        <v>..</v>
      </c>
    </row>
    <row r="445" spans="13:58" ht="18" customHeight="1">
      <c r="M445" s="61" t="s">
        <v>93</v>
      </c>
      <c r="N445" s="44"/>
      <c r="O445" s="44"/>
      <c r="P445" s="44"/>
      <c r="Q445" s="45"/>
      <c r="R445" s="46"/>
      <c r="S445" s="46"/>
      <c r="T445" s="46"/>
      <c r="U445" s="44" t="s">
        <v>96</v>
      </c>
      <c r="V445" s="46"/>
      <c r="W445" s="44"/>
      <c r="X445" s="44"/>
      <c r="Y445" s="44"/>
      <c r="Z445" s="44"/>
      <c r="AA445" s="44"/>
      <c r="AB445" s="42"/>
      <c r="AC445" s="47" t="s">
        <v>97</v>
      </c>
      <c r="AD445" s="48"/>
      <c r="AE445" s="43"/>
      <c r="AF445" s="43"/>
      <c r="AG445" s="43"/>
      <c r="AH445" s="43"/>
      <c r="AI445" s="55"/>
      <c r="AJ445" s="52"/>
      <c r="AT445" s="52"/>
      <c r="AU445" s="59"/>
      <c r="AV445" s="58"/>
      <c r="AW445" s="58"/>
      <c r="AX445" s="54" t="s">
        <v>69</v>
      </c>
      <c r="AY445" s="43" t="s">
        <v>70</v>
      </c>
      <c r="AZ445" s="43" t="s">
        <v>70</v>
      </c>
      <c r="BA445" s="43" t="s">
        <v>71</v>
      </c>
      <c r="BB445" s="43" t="s">
        <v>69</v>
      </c>
      <c r="BC445" s="51">
        <v>31</v>
      </c>
      <c r="BD445" s="43" t="s">
        <v>70</v>
      </c>
      <c r="BE445" s="9">
        <f t="shared" si="17"/>
        <v>436</v>
      </c>
      <c r="BF445" s="9" t="str">
        <f t="shared" si="16"/>
        <v>..</v>
      </c>
    </row>
    <row r="446" spans="13:58" ht="18" customHeight="1">
      <c r="M446" s="61" t="s">
        <v>93</v>
      </c>
      <c r="N446" s="44"/>
      <c r="O446" s="44"/>
      <c r="P446" s="44"/>
      <c r="Q446" s="45"/>
      <c r="R446" s="46"/>
      <c r="S446" s="46"/>
      <c r="T446" s="46"/>
      <c r="U446" s="44" t="s">
        <v>96</v>
      </c>
      <c r="V446" s="46"/>
      <c r="W446" s="44"/>
      <c r="X446" s="44"/>
      <c r="Y446" s="44"/>
      <c r="Z446" s="44"/>
      <c r="AA446" s="44"/>
      <c r="AB446" s="42"/>
      <c r="AC446" s="47" t="s">
        <v>97</v>
      </c>
      <c r="AD446" s="48"/>
      <c r="AE446" s="43"/>
      <c r="AF446" s="43"/>
      <c r="AG446" s="43"/>
      <c r="AH446" s="43"/>
      <c r="AI446" s="55"/>
      <c r="AJ446" s="52"/>
      <c r="AT446" s="52"/>
      <c r="AU446" s="59"/>
      <c r="AV446" s="58"/>
      <c r="AW446" s="58"/>
      <c r="AX446" s="54" t="s">
        <v>69</v>
      </c>
      <c r="AY446" s="43" t="s">
        <v>70</v>
      </c>
      <c r="AZ446" s="43" t="s">
        <v>70</v>
      </c>
      <c r="BA446" s="43" t="s">
        <v>71</v>
      </c>
      <c r="BB446" s="43" t="s">
        <v>69</v>
      </c>
      <c r="BC446" s="51">
        <v>31</v>
      </c>
      <c r="BD446" s="43" t="s">
        <v>70</v>
      </c>
      <c r="BE446" s="9">
        <f t="shared" si="17"/>
        <v>437</v>
      </c>
      <c r="BF446" s="9" t="str">
        <f t="shared" si="16"/>
        <v>..</v>
      </c>
    </row>
    <row r="447" spans="13:58" ht="18" customHeight="1">
      <c r="M447" s="61" t="s">
        <v>93</v>
      </c>
      <c r="N447" s="44"/>
      <c r="O447" s="44"/>
      <c r="P447" s="44"/>
      <c r="Q447" s="45"/>
      <c r="R447" s="46"/>
      <c r="S447" s="46"/>
      <c r="T447" s="46"/>
      <c r="U447" s="44" t="s">
        <v>96</v>
      </c>
      <c r="V447" s="46"/>
      <c r="W447" s="44"/>
      <c r="X447" s="44"/>
      <c r="Y447" s="44"/>
      <c r="Z447" s="44"/>
      <c r="AA447" s="44"/>
      <c r="AB447" s="42"/>
      <c r="AC447" s="47" t="s">
        <v>97</v>
      </c>
      <c r="AD447" s="48"/>
      <c r="AE447" s="43"/>
      <c r="AF447" s="43"/>
      <c r="AG447" s="43"/>
      <c r="AH447" s="43"/>
      <c r="AI447" s="55"/>
      <c r="AJ447" s="52"/>
      <c r="AT447" s="52"/>
      <c r="AU447" s="59"/>
      <c r="AV447" s="58"/>
      <c r="AW447" s="58"/>
      <c r="AX447" s="54" t="s">
        <v>69</v>
      </c>
      <c r="AY447" s="43" t="s">
        <v>70</v>
      </c>
      <c r="AZ447" s="43" t="s">
        <v>70</v>
      </c>
      <c r="BA447" s="43" t="s">
        <v>71</v>
      </c>
      <c r="BB447" s="43" t="s">
        <v>69</v>
      </c>
      <c r="BC447" s="51">
        <v>31</v>
      </c>
      <c r="BD447" s="43" t="s">
        <v>70</v>
      </c>
      <c r="BE447" s="9">
        <f t="shared" si="17"/>
        <v>438</v>
      </c>
      <c r="BF447" s="9" t="str">
        <f t="shared" si="16"/>
        <v>..</v>
      </c>
    </row>
    <row r="448" spans="13:58" ht="18" customHeight="1">
      <c r="M448" s="61" t="s">
        <v>93</v>
      </c>
      <c r="N448" s="44"/>
      <c r="O448" s="44"/>
      <c r="P448" s="44"/>
      <c r="Q448" s="45"/>
      <c r="R448" s="46"/>
      <c r="S448" s="46"/>
      <c r="T448" s="46"/>
      <c r="U448" s="44" t="s">
        <v>96</v>
      </c>
      <c r="V448" s="46"/>
      <c r="W448" s="44"/>
      <c r="X448" s="44"/>
      <c r="Y448" s="44"/>
      <c r="Z448" s="44"/>
      <c r="AA448" s="44"/>
      <c r="AB448" s="42"/>
      <c r="AC448" s="47" t="s">
        <v>97</v>
      </c>
      <c r="AD448" s="48"/>
      <c r="AE448" s="43"/>
      <c r="AF448" s="43"/>
      <c r="AG448" s="43"/>
      <c r="AH448" s="43"/>
      <c r="AI448" s="55"/>
      <c r="AJ448" s="52"/>
      <c r="AT448" s="52"/>
      <c r="AU448" s="59"/>
      <c r="AV448" s="58"/>
      <c r="AW448" s="58"/>
      <c r="AX448" s="54" t="s">
        <v>69</v>
      </c>
      <c r="AY448" s="43" t="s">
        <v>70</v>
      </c>
      <c r="AZ448" s="43" t="s">
        <v>70</v>
      </c>
      <c r="BA448" s="43" t="s">
        <v>71</v>
      </c>
      <c r="BB448" s="43" t="s">
        <v>69</v>
      </c>
      <c r="BC448" s="51">
        <v>31</v>
      </c>
      <c r="BD448" s="43" t="s">
        <v>70</v>
      </c>
      <c r="BE448" s="9">
        <f t="shared" si="17"/>
        <v>439</v>
      </c>
      <c r="BF448" s="9" t="str">
        <f t="shared" si="16"/>
        <v>..</v>
      </c>
    </row>
    <row r="449" spans="13:58" ht="18" customHeight="1">
      <c r="M449" s="61" t="s">
        <v>93</v>
      </c>
      <c r="N449" s="44"/>
      <c r="O449" s="44"/>
      <c r="P449" s="44"/>
      <c r="Q449" s="45"/>
      <c r="R449" s="46"/>
      <c r="S449" s="46"/>
      <c r="T449" s="46"/>
      <c r="U449" s="44" t="s">
        <v>96</v>
      </c>
      <c r="V449" s="46"/>
      <c r="W449" s="44"/>
      <c r="X449" s="44"/>
      <c r="Y449" s="44"/>
      <c r="Z449" s="44"/>
      <c r="AA449" s="44"/>
      <c r="AB449" s="42"/>
      <c r="AC449" s="47" t="s">
        <v>97</v>
      </c>
      <c r="AD449" s="48"/>
      <c r="AE449" s="43"/>
      <c r="AF449" s="43"/>
      <c r="AG449" s="43"/>
      <c r="AH449" s="43"/>
      <c r="AI449" s="55"/>
      <c r="AJ449" s="52"/>
      <c r="AT449" s="52"/>
      <c r="AU449" s="59"/>
      <c r="AV449" s="58"/>
      <c r="AW449" s="58"/>
      <c r="AX449" s="54" t="s">
        <v>69</v>
      </c>
      <c r="AY449" s="43" t="s">
        <v>70</v>
      </c>
      <c r="AZ449" s="43" t="s">
        <v>70</v>
      </c>
      <c r="BA449" s="43" t="s">
        <v>71</v>
      </c>
      <c r="BB449" s="43" t="s">
        <v>69</v>
      </c>
      <c r="BC449" s="51">
        <v>31</v>
      </c>
      <c r="BD449" s="43" t="s">
        <v>70</v>
      </c>
      <c r="BE449" s="9">
        <f t="shared" si="17"/>
        <v>440</v>
      </c>
      <c r="BF449" s="9" t="str">
        <f t="shared" si="16"/>
        <v>..</v>
      </c>
    </row>
    <row r="450" spans="13:58" ht="18" customHeight="1">
      <c r="M450" s="61" t="s">
        <v>93</v>
      </c>
      <c r="N450" s="44"/>
      <c r="O450" s="44"/>
      <c r="P450" s="44"/>
      <c r="Q450" s="45"/>
      <c r="R450" s="46"/>
      <c r="S450" s="46"/>
      <c r="T450" s="46"/>
      <c r="U450" s="44" t="s">
        <v>96</v>
      </c>
      <c r="V450" s="46"/>
      <c r="W450" s="44"/>
      <c r="X450" s="44"/>
      <c r="Y450" s="44"/>
      <c r="Z450" s="44"/>
      <c r="AA450" s="44"/>
      <c r="AB450" s="42"/>
      <c r="AC450" s="47" t="s">
        <v>97</v>
      </c>
      <c r="AD450" s="48"/>
      <c r="AE450" s="43"/>
      <c r="AF450" s="43"/>
      <c r="AG450" s="43"/>
      <c r="AH450" s="43"/>
      <c r="AI450" s="55"/>
      <c r="AJ450" s="52"/>
      <c r="AT450" s="52"/>
      <c r="AU450" s="59"/>
      <c r="AV450" s="58"/>
      <c r="AW450" s="58"/>
      <c r="AX450" s="54" t="s">
        <v>69</v>
      </c>
      <c r="AY450" s="43" t="s">
        <v>70</v>
      </c>
      <c r="AZ450" s="43" t="s">
        <v>70</v>
      </c>
      <c r="BA450" s="43" t="s">
        <v>71</v>
      </c>
      <c r="BB450" s="43" t="s">
        <v>69</v>
      </c>
      <c r="BC450" s="51">
        <v>31</v>
      </c>
      <c r="BD450" s="43" t="s">
        <v>70</v>
      </c>
      <c r="BE450" s="9">
        <f t="shared" si="17"/>
        <v>441</v>
      </c>
      <c r="BF450" s="9" t="str">
        <f t="shared" si="16"/>
        <v>..</v>
      </c>
    </row>
    <row r="451" spans="13:58" ht="18" customHeight="1">
      <c r="M451" s="61" t="s">
        <v>93</v>
      </c>
      <c r="N451" s="44"/>
      <c r="O451" s="44"/>
      <c r="P451" s="44"/>
      <c r="Q451" s="45"/>
      <c r="R451" s="46"/>
      <c r="S451" s="46"/>
      <c r="T451" s="46"/>
      <c r="U451" s="44" t="s">
        <v>96</v>
      </c>
      <c r="V451" s="46"/>
      <c r="W451" s="44"/>
      <c r="X451" s="44"/>
      <c r="Y451" s="44"/>
      <c r="Z451" s="44"/>
      <c r="AA451" s="44"/>
      <c r="AB451" s="42"/>
      <c r="AC451" s="47" t="s">
        <v>97</v>
      </c>
      <c r="AD451" s="48"/>
      <c r="AE451" s="43"/>
      <c r="AF451" s="43"/>
      <c r="AG451" s="43"/>
      <c r="AH451" s="43"/>
      <c r="AI451" s="55"/>
      <c r="AJ451" s="52"/>
      <c r="AT451" s="52"/>
      <c r="AU451" s="59"/>
      <c r="AV451" s="58"/>
      <c r="AW451" s="58"/>
      <c r="AX451" s="54" t="s">
        <v>69</v>
      </c>
      <c r="AY451" s="43" t="s">
        <v>70</v>
      </c>
      <c r="AZ451" s="43" t="s">
        <v>70</v>
      </c>
      <c r="BA451" s="43" t="s">
        <v>71</v>
      </c>
      <c r="BB451" s="43" t="s">
        <v>69</v>
      </c>
      <c r="BC451" s="51">
        <v>31</v>
      </c>
      <c r="BD451" s="43" t="s">
        <v>70</v>
      </c>
      <c r="BE451" s="9">
        <f t="shared" si="17"/>
        <v>442</v>
      </c>
      <c r="BF451" s="9" t="str">
        <f t="shared" si="16"/>
        <v>..</v>
      </c>
    </row>
    <row r="452" spans="13:58" ht="18" customHeight="1">
      <c r="M452" s="61" t="s">
        <v>93</v>
      </c>
      <c r="N452" s="44"/>
      <c r="O452" s="44"/>
      <c r="P452" s="44"/>
      <c r="Q452" s="45"/>
      <c r="R452" s="46"/>
      <c r="S452" s="46"/>
      <c r="T452" s="46"/>
      <c r="U452" s="44" t="s">
        <v>96</v>
      </c>
      <c r="V452" s="46"/>
      <c r="W452" s="44"/>
      <c r="X452" s="44"/>
      <c r="Y452" s="44"/>
      <c r="Z452" s="44"/>
      <c r="AA452" s="44"/>
      <c r="AB452" s="42"/>
      <c r="AC452" s="47" t="s">
        <v>97</v>
      </c>
      <c r="AD452" s="48"/>
      <c r="AE452" s="43"/>
      <c r="AF452" s="43"/>
      <c r="AG452" s="43"/>
      <c r="AH452" s="43"/>
      <c r="AI452" s="55"/>
      <c r="AJ452" s="52"/>
      <c r="AT452" s="52"/>
      <c r="AU452" s="59"/>
      <c r="AV452" s="58"/>
      <c r="AW452" s="58"/>
      <c r="AX452" s="54" t="s">
        <v>69</v>
      </c>
      <c r="AY452" s="43" t="s">
        <v>70</v>
      </c>
      <c r="AZ452" s="43" t="s">
        <v>70</v>
      </c>
      <c r="BA452" s="43" t="s">
        <v>71</v>
      </c>
      <c r="BB452" s="43" t="s">
        <v>69</v>
      </c>
      <c r="BC452" s="51">
        <v>31</v>
      </c>
      <c r="BD452" s="43" t="s">
        <v>70</v>
      </c>
      <c r="BE452" s="9">
        <f t="shared" si="17"/>
        <v>443</v>
      </c>
      <c r="BF452" s="9" t="str">
        <f t="shared" si="16"/>
        <v>..</v>
      </c>
    </row>
    <row r="453" spans="13:58" ht="18" customHeight="1">
      <c r="M453" s="61" t="s">
        <v>93</v>
      </c>
      <c r="N453" s="44"/>
      <c r="O453" s="44"/>
      <c r="P453" s="44"/>
      <c r="Q453" s="45"/>
      <c r="R453" s="46"/>
      <c r="S453" s="46"/>
      <c r="T453" s="46"/>
      <c r="U453" s="44" t="s">
        <v>96</v>
      </c>
      <c r="V453" s="46"/>
      <c r="W453" s="44"/>
      <c r="X453" s="44"/>
      <c r="Y453" s="44"/>
      <c r="Z453" s="44"/>
      <c r="AA453" s="44"/>
      <c r="AB453" s="42"/>
      <c r="AC453" s="47" t="s">
        <v>97</v>
      </c>
      <c r="AD453" s="48"/>
      <c r="AE453" s="43"/>
      <c r="AF453" s="43"/>
      <c r="AG453" s="43"/>
      <c r="AH453" s="43"/>
      <c r="AI453" s="55"/>
      <c r="AJ453" s="52"/>
      <c r="AT453" s="52"/>
      <c r="AU453" s="59"/>
      <c r="AV453" s="58"/>
      <c r="AW453" s="58"/>
      <c r="AX453" s="54" t="s">
        <v>69</v>
      </c>
      <c r="AY453" s="43" t="s">
        <v>70</v>
      </c>
      <c r="AZ453" s="43" t="s">
        <v>70</v>
      </c>
      <c r="BA453" s="43" t="s">
        <v>71</v>
      </c>
      <c r="BB453" s="43" t="s">
        <v>69</v>
      </c>
      <c r="BC453" s="51">
        <v>31</v>
      </c>
      <c r="BD453" s="43" t="s">
        <v>70</v>
      </c>
      <c r="BE453" s="9">
        <f t="shared" si="17"/>
        <v>444</v>
      </c>
      <c r="BF453" s="9" t="str">
        <f t="shared" si="16"/>
        <v>..</v>
      </c>
    </row>
    <row r="454" spans="13:58" ht="18" customHeight="1">
      <c r="M454" s="61" t="s">
        <v>93</v>
      </c>
      <c r="N454" s="44"/>
      <c r="O454" s="44"/>
      <c r="P454" s="44"/>
      <c r="Q454" s="45"/>
      <c r="R454" s="46"/>
      <c r="S454" s="46"/>
      <c r="T454" s="46"/>
      <c r="U454" s="44" t="s">
        <v>96</v>
      </c>
      <c r="V454" s="46"/>
      <c r="W454" s="44"/>
      <c r="X454" s="44"/>
      <c r="Y454" s="44"/>
      <c r="Z454" s="44"/>
      <c r="AA454" s="44"/>
      <c r="AB454" s="42"/>
      <c r="AC454" s="47" t="s">
        <v>97</v>
      </c>
      <c r="AD454" s="48"/>
      <c r="AE454" s="43"/>
      <c r="AF454" s="43"/>
      <c r="AG454" s="43"/>
      <c r="AH454" s="43"/>
      <c r="AI454" s="55"/>
      <c r="AJ454" s="52"/>
      <c r="AT454" s="52"/>
      <c r="AU454" s="59"/>
      <c r="AV454" s="58"/>
      <c r="AW454" s="58"/>
      <c r="AX454" s="54" t="s">
        <v>69</v>
      </c>
      <c r="AY454" s="43" t="s">
        <v>70</v>
      </c>
      <c r="AZ454" s="43" t="s">
        <v>70</v>
      </c>
      <c r="BA454" s="43" t="s">
        <v>71</v>
      </c>
      <c r="BB454" s="43" t="s">
        <v>69</v>
      </c>
      <c r="BC454" s="51">
        <v>31</v>
      </c>
      <c r="BD454" s="43" t="s">
        <v>70</v>
      </c>
      <c r="BE454" s="9">
        <f t="shared" si="17"/>
        <v>445</v>
      </c>
      <c r="BF454" s="9" t="str">
        <f t="shared" si="16"/>
        <v>..</v>
      </c>
    </row>
    <row r="455" spans="13:58" ht="18" customHeight="1">
      <c r="M455" s="61" t="s">
        <v>93</v>
      </c>
      <c r="N455" s="44"/>
      <c r="O455" s="44"/>
      <c r="P455" s="44"/>
      <c r="Q455" s="45"/>
      <c r="R455" s="46"/>
      <c r="S455" s="46"/>
      <c r="T455" s="46"/>
      <c r="U455" s="44" t="s">
        <v>96</v>
      </c>
      <c r="V455" s="46"/>
      <c r="W455" s="44"/>
      <c r="X455" s="44"/>
      <c r="Y455" s="44"/>
      <c r="Z455" s="44"/>
      <c r="AA455" s="44"/>
      <c r="AB455" s="42"/>
      <c r="AC455" s="47" t="s">
        <v>97</v>
      </c>
      <c r="AD455" s="48"/>
      <c r="AE455" s="43"/>
      <c r="AF455" s="43"/>
      <c r="AG455" s="43"/>
      <c r="AH455" s="43"/>
      <c r="AI455" s="55"/>
      <c r="AJ455" s="52"/>
      <c r="AT455" s="52"/>
      <c r="AU455" s="59"/>
      <c r="AV455" s="58"/>
      <c r="AW455" s="58"/>
      <c r="AX455" s="54" t="s">
        <v>69</v>
      </c>
      <c r="AY455" s="43" t="s">
        <v>70</v>
      </c>
      <c r="AZ455" s="43" t="s">
        <v>70</v>
      </c>
      <c r="BA455" s="43" t="s">
        <v>71</v>
      </c>
      <c r="BB455" s="43" t="s">
        <v>69</v>
      </c>
      <c r="BC455" s="51">
        <v>31</v>
      </c>
      <c r="BD455" s="43" t="s">
        <v>70</v>
      </c>
      <c r="BE455" s="9">
        <f t="shared" si="17"/>
        <v>446</v>
      </c>
      <c r="BF455" s="9" t="str">
        <f t="shared" si="16"/>
        <v>..</v>
      </c>
    </row>
    <row r="456" spans="13:58" ht="18" customHeight="1">
      <c r="M456" s="61" t="s">
        <v>93</v>
      </c>
      <c r="N456" s="44"/>
      <c r="O456" s="44"/>
      <c r="P456" s="44"/>
      <c r="Q456" s="45"/>
      <c r="R456" s="46"/>
      <c r="S456" s="46"/>
      <c r="T456" s="46"/>
      <c r="U456" s="44" t="s">
        <v>96</v>
      </c>
      <c r="V456" s="46"/>
      <c r="W456" s="44"/>
      <c r="X456" s="44"/>
      <c r="Y456" s="44"/>
      <c r="Z456" s="44"/>
      <c r="AA456" s="44"/>
      <c r="AB456" s="42"/>
      <c r="AC456" s="47" t="s">
        <v>97</v>
      </c>
      <c r="AD456" s="48"/>
      <c r="AE456" s="43"/>
      <c r="AF456" s="43"/>
      <c r="AG456" s="43"/>
      <c r="AH456" s="43"/>
      <c r="AI456" s="55"/>
      <c r="AJ456" s="52"/>
      <c r="AT456" s="52"/>
      <c r="AU456" s="59"/>
      <c r="AV456" s="58"/>
      <c r="AW456" s="58"/>
      <c r="AX456" s="54" t="s">
        <v>69</v>
      </c>
      <c r="AY456" s="43" t="s">
        <v>70</v>
      </c>
      <c r="AZ456" s="43" t="s">
        <v>70</v>
      </c>
      <c r="BA456" s="43" t="s">
        <v>71</v>
      </c>
      <c r="BB456" s="43" t="s">
        <v>69</v>
      </c>
      <c r="BC456" s="51">
        <v>31</v>
      </c>
      <c r="BD456" s="43" t="s">
        <v>70</v>
      </c>
      <c r="BE456" s="9">
        <f t="shared" si="17"/>
        <v>447</v>
      </c>
      <c r="BF456" s="9" t="str">
        <f t="shared" si="16"/>
        <v>..</v>
      </c>
    </row>
    <row r="457" spans="13:58" ht="18" customHeight="1">
      <c r="M457" s="61" t="s">
        <v>93</v>
      </c>
      <c r="N457" s="44"/>
      <c r="O457" s="44"/>
      <c r="P457" s="44"/>
      <c r="Q457" s="45"/>
      <c r="R457" s="46"/>
      <c r="S457" s="46"/>
      <c r="T457" s="46"/>
      <c r="U457" s="44" t="s">
        <v>96</v>
      </c>
      <c r="V457" s="46"/>
      <c r="W457" s="44"/>
      <c r="X457" s="44"/>
      <c r="Y457" s="44"/>
      <c r="Z457" s="44"/>
      <c r="AA457" s="44"/>
      <c r="AB457" s="42"/>
      <c r="AC457" s="47" t="s">
        <v>97</v>
      </c>
      <c r="AD457" s="48"/>
      <c r="AE457" s="43"/>
      <c r="AF457" s="43"/>
      <c r="AG457" s="43"/>
      <c r="AH457" s="43"/>
      <c r="AI457" s="55"/>
      <c r="AJ457" s="52"/>
      <c r="AT457" s="52"/>
      <c r="AU457" s="59"/>
      <c r="AV457" s="58"/>
      <c r="AW457" s="58"/>
      <c r="AX457" s="54" t="s">
        <v>69</v>
      </c>
      <c r="AY457" s="43" t="s">
        <v>70</v>
      </c>
      <c r="AZ457" s="43" t="s">
        <v>70</v>
      </c>
      <c r="BA457" s="43" t="s">
        <v>71</v>
      </c>
      <c r="BB457" s="43" t="s">
        <v>69</v>
      </c>
      <c r="BC457" s="51">
        <v>31</v>
      </c>
      <c r="BD457" s="43" t="s">
        <v>70</v>
      </c>
      <c r="BE457" s="9">
        <f t="shared" si="17"/>
        <v>448</v>
      </c>
      <c r="BF457" s="9" t="str">
        <f t="shared" si="16"/>
        <v>..</v>
      </c>
    </row>
    <row r="458" spans="13:58" ht="18" customHeight="1">
      <c r="M458" s="61" t="s">
        <v>93</v>
      </c>
      <c r="N458" s="44"/>
      <c r="O458" s="44"/>
      <c r="P458" s="44"/>
      <c r="Q458" s="45"/>
      <c r="R458" s="46"/>
      <c r="S458" s="46"/>
      <c r="T458" s="46"/>
      <c r="U458" s="44" t="s">
        <v>96</v>
      </c>
      <c r="V458" s="46"/>
      <c r="W458" s="44"/>
      <c r="X458" s="44"/>
      <c r="Y458" s="44"/>
      <c r="Z458" s="44"/>
      <c r="AA458" s="44"/>
      <c r="AB458" s="42"/>
      <c r="AC458" s="47" t="s">
        <v>97</v>
      </c>
      <c r="AD458" s="48"/>
      <c r="AE458" s="43"/>
      <c r="AF458" s="43"/>
      <c r="AG458" s="43"/>
      <c r="AH458" s="43"/>
      <c r="AI458" s="55"/>
      <c r="AJ458" s="52"/>
      <c r="AT458" s="52"/>
      <c r="AU458" s="59"/>
      <c r="AV458" s="58"/>
      <c r="AW458" s="58"/>
      <c r="AX458" s="54" t="s">
        <v>69</v>
      </c>
      <c r="AY458" s="43" t="s">
        <v>70</v>
      </c>
      <c r="AZ458" s="43" t="s">
        <v>70</v>
      </c>
      <c r="BA458" s="43" t="s">
        <v>71</v>
      </c>
      <c r="BB458" s="43" t="s">
        <v>69</v>
      </c>
      <c r="BC458" s="51">
        <v>31</v>
      </c>
      <c r="BD458" s="43" t="s">
        <v>70</v>
      </c>
      <c r="BE458" s="9">
        <f t="shared" si="17"/>
        <v>449</v>
      </c>
      <c r="BF458" s="9" t="str">
        <f t="shared" si="16"/>
        <v>..</v>
      </c>
    </row>
    <row r="459" spans="13:58" ht="18" customHeight="1">
      <c r="M459" s="61" t="s">
        <v>93</v>
      </c>
      <c r="N459" s="44"/>
      <c r="O459" s="44"/>
      <c r="P459" s="44"/>
      <c r="Q459" s="45"/>
      <c r="R459" s="46"/>
      <c r="S459" s="46"/>
      <c r="T459" s="46"/>
      <c r="U459" s="44" t="s">
        <v>96</v>
      </c>
      <c r="V459" s="46"/>
      <c r="W459" s="44"/>
      <c r="X459" s="44"/>
      <c r="Y459" s="44"/>
      <c r="Z459" s="44"/>
      <c r="AA459" s="44"/>
      <c r="AB459" s="42"/>
      <c r="AC459" s="47" t="s">
        <v>97</v>
      </c>
      <c r="AD459" s="48"/>
      <c r="AE459" s="43"/>
      <c r="AF459" s="43"/>
      <c r="AG459" s="43"/>
      <c r="AH459" s="43"/>
      <c r="AI459" s="55"/>
      <c r="AJ459" s="52"/>
      <c r="AT459" s="52"/>
      <c r="AU459" s="59"/>
      <c r="AV459" s="58"/>
      <c r="AW459" s="58"/>
      <c r="AX459" s="54" t="s">
        <v>69</v>
      </c>
      <c r="AY459" s="43" t="s">
        <v>70</v>
      </c>
      <c r="AZ459" s="43" t="s">
        <v>70</v>
      </c>
      <c r="BA459" s="43" t="s">
        <v>71</v>
      </c>
      <c r="BB459" s="43" t="s">
        <v>69</v>
      </c>
      <c r="BC459" s="51">
        <v>31</v>
      </c>
      <c r="BD459" s="43" t="s">
        <v>70</v>
      </c>
      <c r="BE459" s="9">
        <f t="shared" si="17"/>
        <v>450</v>
      </c>
      <c r="BF459" s="9" t="str">
        <f t="shared" si="16"/>
        <v>..</v>
      </c>
    </row>
    <row r="460" spans="13:58" ht="18" customHeight="1">
      <c r="M460" s="61" t="s">
        <v>93</v>
      </c>
      <c r="N460" s="44"/>
      <c r="O460" s="44"/>
      <c r="P460" s="44"/>
      <c r="Q460" s="45"/>
      <c r="R460" s="46"/>
      <c r="S460" s="46"/>
      <c r="T460" s="46"/>
      <c r="U460" s="44" t="s">
        <v>96</v>
      </c>
      <c r="V460" s="46"/>
      <c r="W460" s="44"/>
      <c r="X460" s="44"/>
      <c r="Y460" s="44"/>
      <c r="Z460" s="44"/>
      <c r="AA460" s="44"/>
      <c r="AB460" s="42"/>
      <c r="AC460" s="47" t="s">
        <v>97</v>
      </c>
      <c r="AD460" s="48"/>
      <c r="AE460" s="43"/>
      <c r="AF460" s="43"/>
      <c r="AG460" s="43"/>
      <c r="AH460" s="43"/>
      <c r="AI460" s="55"/>
      <c r="AJ460" s="52"/>
      <c r="AT460" s="52"/>
      <c r="AU460" s="59"/>
      <c r="AV460" s="58"/>
      <c r="AW460" s="58"/>
      <c r="AX460" s="54" t="s">
        <v>69</v>
      </c>
      <c r="AY460" s="43" t="s">
        <v>70</v>
      </c>
      <c r="AZ460" s="43" t="s">
        <v>70</v>
      </c>
      <c r="BA460" s="43" t="s">
        <v>71</v>
      </c>
      <c r="BB460" s="43" t="s">
        <v>69</v>
      </c>
      <c r="BC460" s="51">
        <v>31</v>
      </c>
      <c r="BD460" s="43" t="s">
        <v>70</v>
      </c>
      <c r="BE460" s="9">
        <f t="shared" si="17"/>
        <v>451</v>
      </c>
      <c r="BF460" s="9" t="str">
        <f t="shared" si="16"/>
        <v>..</v>
      </c>
    </row>
    <row r="461" spans="13:58" ht="18" customHeight="1">
      <c r="M461" s="61" t="s">
        <v>93</v>
      </c>
      <c r="N461" s="44"/>
      <c r="O461" s="44"/>
      <c r="P461" s="44"/>
      <c r="Q461" s="45"/>
      <c r="R461" s="46"/>
      <c r="S461" s="46"/>
      <c r="T461" s="46"/>
      <c r="U461" s="44" t="s">
        <v>96</v>
      </c>
      <c r="V461" s="46"/>
      <c r="W461" s="44"/>
      <c r="X461" s="44"/>
      <c r="Y461" s="44"/>
      <c r="Z461" s="44"/>
      <c r="AA461" s="44"/>
      <c r="AB461" s="42"/>
      <c r="AC461" s="47" t="s">
        <v>97</v>
      </c>
      <c r="AD461" s="48"/>
      <c r="AE461" s="43"/>
      <c r="AF461" s="43"/>
      <c r="AG461" s="43"/>
      <c r="AH461" s="43"/>
      <c r="AI461" s="55"/>
      <c r="AJ461" s="52"/>
      <c r="AT461" s="52"/>
      <c r="AU461" s="59"/>
      <c r="AV461" s="58"/>
      <c r="AW461" s="58"/>
      <c r="AX461" s="54" t="s">
        <v>69</v>
      </c>
      <c r="AY461" s="43" t="s">
        <v>70</v>
      </c>
      <c r="AZ461" s="43" t="s">
        <v>70</v>
      </c>
      <c r="BA461" s="43" t="s">
        <v>71</v>
      </c>
      <c r="BB461" s="43" t="s">
        <v>69</v>
      </c>
      <c r="BC461" s="51">
        <v>31</v>
      </c>
      <c r="BD461" s="43" t="s">
        <v>70</v>
      </c>
      <c r="BE461" s="9">
        <f t="shared" si="17"/>
        <v>452</v>
      </c>
      <c r="BF461" s="9" t="str">
        <f t="shared" si="16"/>
        <v>..</v>
      </c>
    </row>
    <row r="462" spans="13:58" ht="18" customHeight="1">
      <c r="M462" s="61" t="s">
        <v>93</v>
      </c>
      <c r="N462" s="44"/>
      <c r="O462" s="44"/>
      <c r="P462" s="44"/>
      <c r="Q462" s="45"/>
      <c r="R462" s="46"/>
      <c r="S462" s="46"/>
      <c r="T462" s="46"/>
      <c r="U462" s="44" t="s">
        <v>96</v>
      </c>
      <c r="V462" s="46"/>
      <c r="W462" s="44"/>
      <c r="X462" s="44"/>
      <c r="Y462" s="44"/>
      <c r="Z462" s="44"/>
      <c r="AA462" s="44"/>
      <c r="AB462" s="42"/>
      <c r="AC462" s="47" t="s">
        <v>97</v>
      </c>
      <c r="AD462" s="48"/>
      <c r="AE462" s="43"/>
      <c r="AF462" s="43"/>
      <c r="AG462" s="43"/>
      <c r="AH462" s="43"/>
      <c r="AI462" s="55"/>
      <c r="AJ462" s="52"/>
      <c r="AT462" s="52"/>
      <c r="AU462" s="59"/>
      <c r="AV462" s="58"/>
      <c r="AW462" s="58"/>
      <c r="AX462" s="54" t="s">
        <v>69</v>
      </c>
      <c r="AY462" s="43" t="s">
        <v>70</v>
      </c>
      <c r="AZ462" s="43" t="s">
        <v>70</v>
      </c>
      <c r="BA462" s="43" t="s">
        <v>71</v>
      </c>
      <c r="BB462" s="43" t="s">
        <v>69</v>
      </c>
      <c r="BC462" s="51">
        <v>31</v>
      </c>
      <c r="BD462" s="43" t="s">
        <v>70</v>
      </c>
      <c r="BE462" s="9">
        <f t="shared" si="17"/>
        <v>453</v>
      </c>
      <c r="BF462" s="9" t="str">
        <f t="shared" si="16"/>
        <v>..</v>
      </c>
    </row>
    <row r="463" spans="13:58" ht="18" customHeight="1">
      <c r="M463" s="61" t="s">
        <v>93</v>
      </c>
      <c r="N463" s="44"/>
      <c r="O463" s="44"/>
      <c r="P463" s="44"/>
      <c r="Q463" s="45"/>
      <c r="R463" s="46"/>
      <c r="S463" s="46"/>
      <c r="T463" s="46"/>
      <c r="U463" s="44" t="s">
        <v>96</v>
      </c>
      <c r="V463" s="46"/>
      <c r="W463" s="44"/>
      <c r="X463" s="44"/>
      <c r="Y463" s="44"/>
      <c r="Z463" s="44"/>
      <c r="AA463" s="44"/>
      <c r="AB463" s="42"/>
      <c r="AC463" s="47" t="s">
        <v>97</v>
      </c>
      <c r="AD463" s="48"/>
      <c r="AE463" s="43"/>
      <c r="AF463" s="43"/>
      <c r="AG463" s="43"/>
      <c r="AH463" s="43"/>
      <c r="AI463" s="55"/>
      <c r="AJ463" s="52"/>
      <c r="AT463" s="52"/>
      <c r="AU463" s="59"/>
      <c r="AV463" s="58"/>
      <c r="AW463" s="58"/>
      <c r="AX463" s="54" t="s">
        <v>69</v>
      </c>
      <c r="AY463" s="43" t="s">
        <v>70</v>
      </c>
      <c r="AZ463" s="43" t="s">
        <v>70</v>
      </c>
      <c r="BA463" s="43" t="s">
        <v>71</v>
      </c>
      <c r="BB463" s="43" t="s">
        <v>69</v>
      </c>
      <c r="BC463" s="51">
        <v>31</v>
      </c>
      <c r="BD463" s="43" t="s">
        <v>70</v>
      </c>
      <c r="BE463" s="9">
        <f t="shared" si="17"/>
        <v>454</v>
      </c>
      <c r="BF463" s="9" t="str">
        <f t="shared" ref="BF463:BF526" si="18">CONCATENATE(AB463,".",AD463,".",AJ463)</f>
        <v>..</v>
      </c>
    </row>
    <row r="464" spans="13:58" ht="18" customHeight="1">
      <c r="M464" s="61" t="s">
        <v>93</v>
      </c>
      <c r="N464" s="44"/>
      <c r="O464" s="44"/>
      <c r="P464" s="44"/>
      <c r="Q464" s="45"/>
      <c r="R464" s="46"/>
      <c r="S464" s="46"/>
      <c r="T464" s="46"/>
      <c r="U464" s="44" t="s">
        <v>96</v>
      </c>
      <c r="V464" s="46"/>
      <c r="W464" s="44"/>
      <c r="X464" s="44"/>
      <c r="Y464" s="44"/>
      <c r="Z464" s="44"/>
      <c r="AA464" s="44"/>
      <c r="AB464" s="42"/>
      <c r="AC464" s="47" t="s">
        <v>97</v>
      </c>
      <c r="AD464" s="48"/>
      <c r="AE464" s="43"/>
      <c r="AF464" s="43"/>
      <c r="AG464" s="43"/>
      <c r="AH464" s="43"/>
      <c r="AI464" s="55"/>
      <c r="AJ464" s="52"/>
      <c r="AT464" s="52"/>
      <c r="AU464" s="59"/>
      <c r="AV464" s="58"/>
      <c r="AW464" s="58"/>
      <c r="AX464" s="54" t="s">
        <v>69</v>
      </c>
      <c r="AY464" s="43" t="s">
        <v>70</v>
      </c>
      <c r="AZ464" s="43" t="s">
        <v>70</v>
      </c>
      <c r="BA464" s="43" t="s">
        <v>71</v>
      </c>
      <c r="BB464" s="43" t="s">
        <v>69</v>
      </c>
      <c r="BC464" s="51">
        <v>31</v>
      </c>
      <c r="BD464" s="43" t="s">
        <v>70</v>
      </c>
      <c r="BE464" s="9">
        <f t="shared" ref="BE464:BE527" si="19">ROW()-ROW($BE$9)</f>
        <v>455</v>
      </c>
      <c r="BF464" s="9" t="str">
        <f t="shared" si="18"/>
        <v>..</v>
      </c>
    </row>
    <row r="465" spans="13:58" ht="18" customHeight="1">
      <c r="M465" s="61" t="s">
        <v>93</v>
      </c>
      <c r="N465" s="44"/>
      <c r="O465" s="44"/>
      <c r="P465" s="44"/>
      <c r="Q465" s="45"/>
      <c r="R465" s="46"/>
      <c r="S465" s="46"/>
      <c r="T465" s="46"/>
      <c r="U465" s="44" t="s">
        <v>96</v>
      </c>
      <c r="V465" s="46"/>
      <c r="W465" s="44"/>
      <c r="X465" s="44"/>
      <c r="Y465" s="44"/>
      <c r="Z465" s="44"/>
      <c r="AA465" s="44"/>
      <c r="AB465" s="42"/>
      <c r="AC465" s="47" t="s">
        <v>97</v>
      </c>
      <c r="AD465" s="48"/>
      <c r="AE465" s="43"/>
      <c r="AF465" s="43"/>
      <c r="AG465" s="43"/>
      <c r="AH465" s="43"/>
      <c r="AI465" s="55"/>
      <c r="AJ465" s="52"/>
      <c r="AT465" s="52"/>
      <c r="AU465" s="59"/>
      <c r="AV465" s="58"/>
      <c r="AW465" s="58"/>
      <c r="AX465" s="54" t="s">
        <v>69</v>
      </c>
      <c r="AY465" s="43" t="s">
        <v>70</v>
      </c>
      <c r="AZ465" s="43" t="s">
        <v>70</v>
      </c>
      <c r="BA465" s="43" t="s">
        <v>71</v>
      </c>
      <c r="BB465" s="43" t="s">
        <v>69</v>
      </c>
      <c r="BC465" s="51">
        <v>31</v>
      </c>
      <c r="BD465" s="43" t="s">
        <v>70</v>
      </c>
      <c r="BE465" s="9">
        <f t="shared" si="19"/>
        <v>456</v>
      </c>
      <c r="BF465" s="9" t="str">
        <f t="shared" si="18"/>
        <v>..</v>
      </c>
    </row>
    <row r="466" spans="13:58" ht="18" customHeight="1">
      <c r="M466" s="61" t="s">
        <v>93</v>
      </c>
      <c r="N466" s="44"/>
      <c r="O466" s="44"/>
      <c r="P466" s="44"/>
      <c r="Q466" s="45"/>
      <c r="R466" s="46"/>
      <c r="S466" s="46"/>
      <c r="T466" s="46"/>
      <c r="U466" s="44" t="s">
        <v>96</v>
      </c>
      <c r="V466" s="46"/>
      <c r="W466" s="44"/>
      <c r="X466" s="44"/>
      <c r="Y466" s="44"/>
      <c r="Z466" s="44"/>
      <c r="AA466" s="44"/>
      <c r="AB466" s="42"/>
      <c r="AC466" s="47" t="s">
        <v>97</v>
      </c>
      <c r="AD466" s="48"/>
      <c r="AE466" s="43"/>
      <c r="AF466" s="43"/>
      <c r="AG466" s="43"/>
      <c r="AH466" s="43"/>
      <c r="AI466" s="55"/>
      <c r="AJ466" s="52"/>
      <c r="AT466" s="52"/>
      <c r="AU466" s="59"/>
      <c r="AV466" s="58"/>
      <c r="AW466" s="58"/>
      <c r="AX466" s="54" t="s">
        <v>69</v>
      </c>
      <c r="AY466" s="43" t="s">
        <v>70</v>
      </c>
      <c r="AZ466" s="43" t="s">
        <v>70</v>
      </c>
      <c r="BA466" s="43" t="s">
        <v>71</v>
      </c>
      <c r="BB466" s="43" t="s">
        <v>69</v>
      </c>
      <c r="BC466" s="51">
        <v>31</v>
      </c>
      <c r="BD466" s="43" t="s">
        <v>70</v>
      </c>
      <c r="BE466" s="9">
        <f t="shared" si="19"/>
        <v>457</v>
      </c>
      <c r="BF466" s="9" t="str">
        <f t="shared" si="18"/>
        <v>..</v>
      </c>
    </row>
    <row r="467" spans="13:58" ht="18" customHeight="1">
      <c r="M467" s="61" t="s">
        <v>93</v>
      </c>
      <c r="N467" s="44"/>
      <c r="O467" s="44"/>
      <c r="P467" s="44"/>
      <c r="Q467" s="45"/>
      <c r="R467" s="46"/>
      <c r="S467" s="46"/>
      <c r="T467" s="46"/>
      <c r="U467" s="44" t="s">
        <v>96</v>
      </c>
      <c r="V467" s="46"/>
      <c r="W467" s="44"/>
      <c r="X467" s="44"/>
      <c r="Y467" s="44"/>
      <c r="Z467" s="44"/>
      <c r="AA467" s="44"/>
      <c r="AB467" s="42"/>
      <c r="AC467" s="47" t="s">
        <v>97</v>
      </c>
      <c r="AD467" s="48"/>
      <c r="AE467" s="43"/>
      <c r="AF467" s="43"/>
      <c r="AG467" s="43"/>
      <c r="AH467" s="43"/>
      <c r="AI467" s="55"/>
      <c r="AJ467" s="52"/>
      <c r="AT467" s="52"/>
      <c r="AU467" s="59"/>
      <c r="AV467" s="58"/>
      <c r="AW467" s="58"/>
      <c r="AX467" s="54" t="s">
        <v>69</v>
      </c>
      <c r="AY467" s="43" t="s">
        <v>70</v>
      </c>
      <c r="AZ467" s="43" t="s">
        <v>70</v>
      </c>
      <c r="BA467" s="43" t="s">
        <v>71</v>
      </c>
      <c r="BB467" s="43" t="s">
        <v>69</v>
      </c>
      <c r="BC467" s="51">
        <v>31</v>
      </c>
      <c r="BD467" s="43" t="s">
        <v>70</v>
      </c>
      <c r="BE467" s="9">
        <f t="shared" si="19"/>
        <v>458</v>
      </c>
      <c r="BF467" s="9" t="str">
        <f t="shared" si="18"/>
        <v>..</v>
      </c>
    </row>
    <row r="468" spans="13:58" ht="18" customHeight="1">
      <c r="M468" s="61" t="s">
        <v>93</v>
      </c>
      <c r="N468" s="44"/>
      <c r="O468" s="44"/>
      <c r="P468" s="44"/>
      <c r="Q468" s="45"/>
      <c r="R468" s="46"/>
      <c r="S468" s="46"/>
      <c r="T468" s="46"/>
      <c r="U468" s="44" t="s">
        <v>96</v>
      </c>
      <c r="V468" s="46"/>
      <c r="W468" s="44"/>
      <c r="X468" s="44"/>
      <c r="Y468" s="44"/>
      <c r="Z468" s="44"/>
      <c r="AA468" s="44"/>
      <c r="AB468" s="42"/>
      <c r="AC468" s="47" t="s">
        <v>97</v>
      </c>
      <c r="AD468" s="48"/>
      <c r="AE468" s="43"/>
      <c r="AF468" s="43"/>
      <c r="AG468" s="43"/>
      <c r="AH468" s="43"/>
      <c r="AI468" s="55"/>
      <c r="AJ468" s="52"/>
      <c r="AT468" s="52"/>
      <c r="AU468" s="59"/>
      <c r="AV468" s="58"/>
      <c r="AW468" s="58"/>
      <c r="AX468" s="54" t="s">
        <v>69</v>
      </c>
      <c r="AY468" s="43" t="s">
        <v>70</v>
      </c>
      <c r="AZ468" s="43" t="s">
        <v>70</v>
      </c>
      <c r="BA468" s="43" t="s">
        <v>71</v>
      </c>
      <c r="BB468" s="43" t="s">
        <v>69</v>
      </c>
      <c r="BC468" s="51">
        <v>31</v>
      </c>
      <c r="BD468" s="43" t="s">
        <v>70</v>
      </c>
      <c r="BE468" s="9">
        <f t="shared" si="19"/>
        <v>459</v>
      </c>
      <c r="BF468" s="9" t="str">
        <f t="shared" si="18"/>
        <v>..</v>
      </c>
    </row>
    <row r="469" spans="13:58" ht="18" customHeight="1">
      <c r="M469" s="61" t="s">
        <v>93</v>
      </c>
      <c r="N469" s="44"/>
      <c r="O469" s="44"/>
      <c r="P469" s="44"/>
      <c r="Q469" s="45"/>
      <c r="R469" s="46"/>
      <c r="S469" s="46"/>
      <c r="T469" s="46"/>
      <c r="U469" s="44" t="s">
        <v>96</v>
      </c>
      <c r="V469" s="46"/>
      <c r="W469" s="44"/>
      <c r="X469" s="44"/>
      <c r="Y469" s="44"/>
      <c r="Z469" s="44"/>
      <c r="AA469" s="44"/>
      <c r="AB469" s="42"/>
      <c r="AC469" s="47" t="s">
        <v>97</v>
      </c>
      <c r="AD469" s="48"/>
      <c r="AE469" s="43"/>
      <c r="AF469" s="43"/>
      <c r="AG469" s="43"/>
      <c r="AH469" s="43"/>
      <c r="AI469" s="55"/>
      <c r="AJ469" s="52"/>
      <c r="AT469" s="52"/>
      <c r="AU469" s="59"/>
      <c r="AV469" s="58"/>
      <c r="AW469" s="58"/>
      <c r="AX469" s="54" t="s">
        <v>69</v>
      </c>
      <c r="AY469" s="43" t="s">
        <v>70</v>
      </c>
      <c r="AZ469" s="43" t="s">
        <v>70</v>
      </c>
      <c r="BA469" s="43" t="s">
        <v>71</v>
      </c>
      <c r="BB469" s="43" t="s">
        <v>69</v>
      </c>
      <c r="BC469" s="51">
        <v>31</v>
      </c>
      <c r="BD469" s="43" t="s">
        <v>70</v>
      </c>
      <c r="BE469" s="9">
        <f t="shared" si="19"/>
        <v>460</v>
      </c>
      <c r="BF469" s="9" t="str">
        <f t="shared" si="18"/>
        <v>..</v>
      </c>
    </row>
    <row r="470" spans="13:58" ht="18" customHeight="1">
      <c r="M470" s="61" t="s">
        <v>93</v>
      </c>
      <c r="N470" s="44"/>
      <c r="O470" s="44"/>
      <c r="P470" s="44"/>
      <c r="Q470" s="45"/>
      <c r="R470" s="46"/>
      <c r="S470" s="46"/>
      <c r="T470" s="46"/>
      <c r="U470" s="44" t="s">
        <v>96</v>
      </c>
      <c r="V470" s="46"/>
      <c r="W470" s="44"/>
      <c r="X470" s="44"/>
      <c r="Y470" s="44"/>
      <c r="Z470" s="44"/>
      <c r="AA470" s="44"/>
      <c r="AB470" s="42"/>
      <c r="AC470" s="47" t="s">
        <v>97</v>
      </c>
      <c r="AD470" s="48"/>
      <c r="AE470" s="43"/>
      <c r="AF470" s="43"/>
      <c r="AG470" s="43"/>
      <c r="AH470" s="43"/>
      <c r="AI470" s="55"/>
      <c r="AJ470" s="52"/>
      <c r="AT470" s="52"/>
      <c r="AU470" s="59"/>
      <c r="AV470" s="58"/>
      <c r="AW470" s="58"/>
      <c r="AX470" s="54" t="s">
        <v>69</v>
      </c>
      <c r="AY470" s="43" t="s">
        <v>70</v>
      </c>
      <c r="AZ470" s="43" t="s">
        <v>70</v>
      </c>
      <c r="BA470" s="43" t="s">
        <v>71</v>
      </c>
      <c r="BB470" s="43" t="s">
        <v>69</v>
      </c>
      <c r="BC470" s="51">
        <v>31</v>
      </c>
      <c r="BD470" s="43" t="s">
        <v>70</v>
      </c>
      <c r="BE470" s="9">
        <f t="shared" si="19"/>
        <v>461</v>
      </c>
      <c r="BF470" s="9" t="str">
        <f t="shared" si="18"/>
        <v>..</v>
      </c>
    </row>
    <row r="471" spans="13:58" ht="18" customHeight="1">
      <c r="M471" s="61" t="s">
        <v>93</v>
      </c>
      <c r="N471" s="44"/>
      <c r="O471" s="44"/>
      <c r="P471" s="44"/>
      <c r="Q471" s="45"/>
      <c r="R471" s="46"/>
      <c r="S471" s="46"/>
      <c r="T471" s="46"/>
      <c r="U471" s="44" t="s">
        <v>96</v>
      </c>
      <c r="V471" s="46"/>
      <c r="W471" s="44"/>
      <c r="X471" s="44"/>
      <c r="Y471" s="44"/>
      <c r="Z471" s="44"/>
      <c r="AA471" s="44"/>
      <c r="AB471" s="42"/>
      <c r="AC471" s="47" t="s">
        <v>97</v>
      </c>
      <c r="AD471" s="48"/>
      <c r="AE471" s="43"/>
      <c r="AF471" s="43"/>
      <c r="AG471" s="43"/>
      <c r="AH471" s="43"/>
      <c r="AI471" s="55"/>
      <c r="AJ471" s="52"/>
      <c r="AT471" s="52"/>
      <c r="AU471" s="59"/>
      <c r="AV471" s="58"/>
      <c r="AW471" s="58"/>
      <c r="AX471" s="54" t="s">
        <v>69</v>
      </c>
      <c r="AY471" s="43" t="s">
        <v>70</v>
      </c>
      <c r="AZ471" s="43" t="s">
        <v>70</v>
      </c>
      <c r="BA471" s="43" t="s">
        <v>71</v>
      </c>
      <c r="BB471" s="43" t="s">
        <v>69</v>
      </c>
      <c r="BC471" s="51">
        <v>31</v>
      </c>
      <c r="BD471" s="43" t="s">
        <v>70</v>
      </c>
      <c r="BE471" s="9">
        <f t="shared" si="19"/>
        <v>462</v>
      </c>
      <c r="BF471" s="9" t="str">
        <f t="shared" si="18"/>
        <v>..</v>
      </c>
    </row>
    <row r="472" spans="13:58" ht="18" customHeight="1">
      <c r="M472" s="61" t="s">
        <v>93</v>
      </c>
      <c r="N472" s="44"/>
      <c r="O472" s="44"/>
      <c r="P472" s="44"/>
      <c r="Q472" s="45"/>
      <c r="R472" s="46"/>
      <c r="S472" s="46"/>
      <c r="T472" s="46"/>
      <c r="U472" s="44" t="s">
        <v>96</v>
      </c>
      <c r="V472" s="46"/>
      <c r="W472" s="44"/>
      <c r="X472" s="44"/>
      <c r="Y472" s="44"/>
      <c r="Z472" s="44"/>
      <c r="AA472" s="44"/>
      <c r="AB472" s="42"/>
      <c r="AC472" s="47" t="s">
        <v>97</v>
      </c>
      <c r="AD472" s="48"/>
      <c r="AE472" s="43"/>
      <c r="AF472" s="43"/>
      <c r="AG472" s="43"/>
      <c r="AH472" s="43"/>
      <c r="AI472" s="55"/>
      <c r="AJ472" s="52"/>
      <c r="AT472" s="52"/>
      <c r="AU472" s="59"/>
      <c r="AV472" s="58"/>
      <c r="AW472" s="58"/>
      <c r="AX472" s="54" t="s">
        <v>69</v>
      </c>
      <c r="AY472" s="43" t="s">
        <v>70</v>
      </c>
      <c r="AZ472" s="43" t="s">
        <v>70</v>
      </c>
      <c r="BA472" s="43" t="s">
        <v>71</v>
      </c>
      <c r="BB472" s="43" t="s">
        <v>69</v>
      </c>
      <c r="BC472" s="51">
        <v>31</v>
      </c>
      <c r="BD472" s="43" t="s">
        <v>70</v>
      </c>
      <c r="BE472" s="9">
        <f t="shared" si="19"/>
        <v>463</v>
      </c>
      <c r="BF472" s="9" t="str">
        <f t="shared" si="18"/>
        <v>..</v>
      </c>
    </row>
    <row r="473" spans="13:58" ht="18" customHeight="1">
      <c r="M473" s="61" t="s">
        <v>93</v>
      </c>
      <c r="N473" s="44"/>
      <c r="O473" s="44"/>
      <c r="P473" s="44"/>
      <c r="Q473" s="45"/>
      <c r="R473" s="46"/>
      <c r="S473" s="46"/>
      <c r="T473" s="46"/>
      <c r="U473" s="44" t="s">
        <v>96</v>
      </c>
      <c r="V473" s="46"/>
      <c r="W473" s="44"/>
      <c r="X473" s="44"/>
      <c r="Y473" s="44"/>
      <c r="Z473" s="44"/>
      <c r="AA473" s="44"/>
      <c r="AB473" s="42"/>
      <c r="AC473" s="47" t="s">
        <v>97</v>
      </c>
      <c r="AD473" s="48"/>
      <c r="AE473" s="43"/>
      <c r="AF473" s="43"/>
      <c r="AG473" s="43"/>
      <c r="AH473" s="43"/>
      <c r="AI473" s="55"/>
      <c r="AJ473" s="52"/>
      <c r="AT473" s="52"/>
      <c r="AU473" s="59"/>
      <c r="AV473" s="58"/>
      <c r="AW473" s="58"/>
      <c r="AX473" s="54" t="s">
        <v>69</v>
      </c>
      <c r="AY473" s="43" t="s">
        <v>70</v>
      </c>
      <c r="AZ473" s="43" t="s">
        <v>70</v>
      </c>
      <c r="BA473" s="43" t="s">
        <v>71</v>
      </c>
      <c r="BB473" s="43" t="s">
        <v>69</v>
      </c>
      <c r="BC473" s="51">
        <v>31</v>
      </c>
      <c r="BD473" s="43" t="s">
        <v>70</v>
      </c>
      <c r="BE473" s="9">
        <f t="shared" si="19"/>
        <v>464</v>
      </c>
      <c r="BF473" s="9" t="str">
        <f t="shared" si="18"/>
        <v>..</v>
      </c>
    </row>
    <row r="474" spans="13:58" ht="18" customHeight="1">
      <c r="M474" s="61" t="s">
        <v>93</v>
      </c>
      <c r="N474" s="44"/>
      <c r="O474" s="44"/>
      <c r="P474" s="44"/>
      <c r="Q474" s="45"/>
      <c r="R474" s="46"/>
      <c r="S474" s="46"/>
      <c r="T474" s="46"/>
      <c r="U474" s="44" t="s">
        <v>96</v>
      </c>
      <c r="V474" s="46"/>
      <c r="W474" s="44"/>
      <c r="X474" s="44"/>
      <c r="Y474" s="44"/>
      <c r="Z474" s="44"/>
      <c r="AA474" s="44"/>
      <c r="AB474" s="42"/>
      <c r="AC474" s="47" t="s">
        <v>97</v>
      </c>
      <c r="AD474" s="48"/>
      <c r="AE474" s="43"/>
      <c r="AF474" s="43"/>
      <c r="AG474" s="43"/>
      <c r="AH474" s="43"/>
      <c r="AI474" s="55"/>
      <c r="AJ474" s="52"/>
      <c r="AT474" s="52"/>
      <c r="AU474" s="59"/>
      <c r="AV474" s="58"/>
      <c r="AW474" s="58"/>
      <c r="AX474" s="54" t="s">
        <v>69</v>
      </c>
      <c r="AY474" s="43" t="s">
        <v>70</v>
      </c>
      <c r="AZ474" s="43" t="s">
        <v>70</v>
      </c>
      <c r="BA474" s="43" t="s">
        <v>71</v>
      </c>
      <c r="BB474" s="43" t="s">
        <v>69</v>
      </c>
      <c r="BC474" s="51">
        <v>31</v>
      </c>
      <c r="BD474" s="43" t="s">
        <v>70</v>
      </c>
      <c r="BE474" s="9">
        <f t="shared" si="19"/>
        <v>465</v>
      </c>
      <c r="BF474" s="9" t="str">
        <f t="shared" si="18"/>
        <v>..</v>
      </c>
    </row>
    <row r="475" spans="13:58" ht="18" customHeight="1">
      <c r="M475" s="61" t="s">
        <v>93</v>
      </c>
      <c r="N475" s="44"/>
      <c r="O475" s="44"/>
      <c r="P475" s="44"/>
      <c r="Q475" s="45"/>
      <c r="R475" s="46"/>
      <c r="S475" s="46"/>
      <c r="T475" s="46"/>
      <c r="U475" s="44" t="s">
        <v>96</v>
      </c>
      <c r="V475" s="46"/>
      <c r="W475" s="44"/>
      <c r="X475" s="44"/>
      <c r="Y475" s="44"/>
      <c r="Z475" s="44"/>
      <c r="AA475" s="44"/>
      <c r="AB475" s="42"/>
      <c r="AC475" s="47" t="s">
        <v>97</v>
      </c>
      <c r="AD475" s="48"/>
      <c r="AE475" s="43"/>
      <c r="AF475" s="43"/>
      <c r="AG475" s="43"/>
      <c r="AH475" s="43"/>
      <c r="AI475" s="55"/>
      <c r="AJ475" s="52"/>
      <c r="AT475" s="52"/>
      <c r="AU475" s="59"/>
      <c r="AV475" s="58"/>
      <c r="AW475" s="58"/>
      <c r="AX475" s="54" t="s">
        <v>69</v>
      </c>
      <c r="AY475" s="43" t="s">
        <v>70</v>
      </c>
      <c r="AZ475" s="43" t="s">
        <v>70</v>
      </c>
      <c r="BA475" s="43" t="s">
        <v>71</v>
      </c>
      <c r="BB475" s="43" t="s">
        <v>69</v>
      </c>
      <c r="BC475" s="51">
        <v>31</v>
      </c>
      <c r="BD475" s="43" t="s">
        <v>70</v>
      </c>
      <c r="BE475" s="9">
        <f t="shared" si="19"/>
        <v>466</v>
      </c>
      <c r="BF475" s="9" t="str">
        <f t="shared" si="18"/>
        <v>..</v>
      </c>
    </row>
    <row r="476" spans="13:58" ht="18" customHeight="1">
      <c r="M476" s="61" t="s">
        <v>93</v>
      </c>
      <c r="N476" s="44"/>
      <c r="O476" s="44"/>
      <c r="P476" s="44"/>
      <c r="Q476" s="45"/>
      <c r="R476" s="46"/>
      <c r="S476" s="46"/>
      <c r="T476" s="46"/>
      <c r="U476" s="44" t="s">
        <v>96</v>
      </c>
      <c r="V476" s="46"/>
      <c r="W476" s="44"/>
      <c r="X476" s="44"/>
      <c r="Y476" s="44"/>
      <c r="Z476" s="44"/>
      <c r="AA476" s="44"/>
      <c r="AB476" s="42"/>
      <c r="AC476" s="47" t="s">
        <v>97</v>
      </c>
      <c r="AD476" s="48"/>
      <c r="AE476" s="43"/>
      <c r="AF476" s="43"/>
      <c r="AG476" s="43"/>
      <c r="AH476" s="43"/>
      <c r="AI476" s="55"/>
      <c r="AJ476" s="52"/>
      <c r="AT476" s="52"/>
      <c r="AU476" s="59"/>
      <c r="AV476" s="58"/>
      <c r="AW476" s="58"/>
      <c r="AX476" s="54" t="s">
        <v>69</v>
      </c>
      <c r="AY476" s="43" t="s">
        <v>70</v>
      </c>
      <c r="AZ476" s="43" t="s">
        <v>70</v>
      </c>
      <c r="BA476" s="43" t="s">
        <v>71</v>
      </c>
      <c r="BB476" s="43" t="s">
        <v>69</v>
      </c>
      <c r="BC476" s="51">
        <v>31</v>
      </c>
      <c r="BD476" s="43" t="s">
        <v>70</v>
      </c>
      <c r="BE476" s="9">
        <f t="shared" si="19"/>
        <v>467</v>
      </c>
      <c r="BF476" s="9" t="str">
        <f t="shared" si="18"/>
        <v>..</v>
      </c>
    </row>
    <row r="477" spans="13:58" ht="18" customHeight="1">
      <c r="M477" s="61" t="s">
        <v>93</v>
      </c>
      <c r="N477" s="44"/>
      <c r="O477" s="44"/>
      <c r="P477" s="44"/>
      <c r="Q477" s="45"/>
      <c r="R477" s="46"/>
      <c r="S477" s="46"/>
      <c r="T477" s="46"/>
      <c r="U477" s="44" t="s">
        <v>96</v>
      </c>
      <c r="V477" s="46"/>
      <c r="W477" s="44"/>
      <c r="X477" s="44"/>
      <c r="Y477" s="44"/>
      <c r="Z477" s="44"/>
      <c r="AA477" s="44"/>
      <c r="AB477" s="42"/>
      <c r="AC477" s="47" t="s">
        <v>97</v>
      </c>
      <c r="AD477" s="48"/>
      <c r="AE477" s="43"/>
      <c r="AF477" s="43"/>
      <c r="AG477" s="43"/>
      <c r="AH477" s="43"/>
      <c r="AI477" s="55"/>
      <c r="AJ477" s="52"/>
      <c r="AT477" s="52"/>
      <c r="AU477" s="59"/>
      <c r="AV477" s="58"/>
      <c r="AW477" s="58"/>
      <c r="AX477" s="54" t="s">
        <v>69</v>
      </c>
      <c r="AY477" s="43" t="s">
        <v>70</v>
      </c>
      <c r="AZ477" s="43" t="s">
        <v>70</v>
      </c>
      <c r="BA477" s="43" t="s">
        <v>71</v>
      </c>
      <c r="BB477" s="43" t="s">
        <v>69</v>
      </c>
      <c r="BC477" s="51">
        <v>31</v>
      </c>
      <c r="BD477" s="43" t="s">
        <v>70</v>
      </c>
      <c r="BE477" s="9">
        <f t="shared" si="19"/>
        <v>468</v>
      </c>
      <c r="BF477" s="9" t="str">
        <f t="shared" si="18"/>
        <v>..</v>
      </c>
    </row>
    <row r="478" spans="13:58" ht="18" customHeight="1">
      <c r="M478" s="61" t="s">
        <v>93</v>
      </c>
      <c r="N478" s="44"/>
      <c r="O478" s="44"/>
      <c r="P478" s="44"/>
      <c r="Q478" s="45"/>
      <c r="R478" s="46"/>
      <c r="S478" s="46"/>
      <c r="T478" s="46"/>
      <c r="U478" s="44" t="s">
        <v>96</v>
      </c>
      <c r="V478" s="46"/>
      <c r="W478" s="44"/>
      <c r="X478" s="44"/>
      <c r="Y478" s="44"/>
      <c r="Z478" s="44"/>
      <c r="AA478" s="44"/>
      <c r="AB478" s="42"/>
      <c r="AC478" s="47" t="s">
        <v>97</v>
      </c>
      <c r="AD478" s="48"/>
      <c r="AE478" s="43"/>
      <c r="AF478" s="43"/>
      <c r="AG478" s="43"/>
      <c r="AH478" s="43"/>
      <c r="AI478" s="55"/>
      <c r="AJ478" s="52"/>
      <c r="AT478" s="52"/>
      <c r="AU478" s="59"/>
      <c r="AV478" s="58"/>
      <c r="AW478" s="58"/>
      <c r="AX478" s="54" t="s">
        <v>69</v>
      </c>
      <c r="AY478" s="43" t="s">
        <v>70</v>
      </c>
      <c r="AZ478" s="43" t="s">
        <v>70</v>
      </c>
      <c r="BA478" s="43" t="s">
        <v>71</v>
      </c>
      <c r="BB478" s="43" t="s">
        <v>69</v>
      </c>
      <c r="BC478" s="51">
        <v>31</v>
      </c>
      <c r="BD478" s="43" t="s">
        <v>70</v>
      </c>
      <c r="BE478" s="9">
        <f t="shared" si="19"/>
        <v>469</v>
      </c>
      <c r="BF478" s="9" t="str">
        <f t="shared" si="18"/>
        <v>..</v>
      </c>
    </row>
    <row r="479" spans="13:58" ht="18" customHeight="1">
      <c r="M479" s="61" t="s">
        <v>93</v>
      </c>
      <c r="N479" s="44"/>
      <c r="O479" s="44"/>
      <c r="P479" s="44"/>
      <c r="Q479" s="45"/>
      <c r="R479" s="46"/>
      <c r="S479" s="46"/>
      <c r="T479" s="46"/>
      <c r="U479" s="44" t="s">
        <v>96</v>
      </c>
      <c r="V479" s="46"/>
      <c r="W479" s="44"/>
      <c r="X479" s="44"/>
      <c r="Y479" s="44"/>
      <c r="Z479" s="44"/>
      <c r="AA479" s="44"/>
      <c r="AB479" s="42"/>
      <c r="AC479" s="47" t="s">
        <v>97</v>
      </c>
      <c r="AD479" s="48"/>
      <c r="AE479" s="43"/>
      <c r="AF479" s="43"/>
      <c r="AG479" s="43"/>
      <c r="AH479" s="43"/>
      <c r="AI479" s="55"/>
      <c r="AJ479" s="52"/>
      <c r="AT479" s="52"/>
      <c r="AU479" s="59"/>
      <c r="AV479" s="58"/>
      <c r="AW479" s="58"/>
      <c r="AX479" s="54" t="s">
        <v>69</v>
      </c>
      <c r="AY479" s="43" t="s">
        <v>70</v>
      </c>
      <c r="AZ479" s="43" t="s">
        <v>70</v>
      </c>
      <c r="BA479" s="43" t="s">
        <v>71</v>
      </c>
      <c r="BB479" s="43" t="s">
        <v>69</v>
      </c>
      <c r="BC479" s="51">
        <v>31</v>
      </c>
      <c r="BD479" s="43" t="s">
        <v>70</v>
      </c>
      <c r="BE479" s="9">
        <f t="shared" si="19"/>
        <v>470</v>
      </c>
      <c r="BF479" s="9" t="str">
        <f t="shared" si="18"/>
        <v>..</v>
      </c>
    </row>
    <row r="480" spans="13:58" ht="18" customHeight="1">
      <c r="M480" s="61" t="s">
        <v>93</v>
      </c>
      <c r="N480" s="44"/>
      <c r="O480" s="44"/>
      <c r="P480" s="44"/>
      <c r="Q480" s="45"/>
      <c r="R480" s="46"/>
      <c r="S480" s="46"/>
      <c r="T480" s="46"/>
      <c r="U480" s="44" t="s">
        <v>96</v>
      </c>
      <c r="V480" s="46"/>
      <c r="W480" s="44"/>
      <c r="X480" s="44"/>
      <c r="Y480" s="44"/>
      <c r="Z480" s="44"/>
      <c r="AA480" s="44"/>
      <c r="AB480" s="42"/>
      <c r="AC480" s="47" t="s">
        <v>97</v>
      </c>
      <c r="AD480" s="48"/>
      <c r="AE480" s="43"/>
      <c r="AF480" s="43"/>
      <c r="AG480" s="43"/>
      <c r="AH480" s="43"/>
      <c r="AI480" s="55"/>
      <c r="AJ480" s="52"/>
      <c r="AT480" s="52"/>
      <c r="AU480" s="59"/>
      <c r="AV480" s="58"/>
      <c r="AW480" s="58"/>
      <c r="AX480" s="54" t="s">
        <v>69</v>
      </c>
      <c r="AY480" s="43" t="s">
        <v>70</v>
      </c>
      <c r="AZ480" s="43" t="s">
        <v>70</v>
      </c>
      <c r="BA480" s="43" t="s">
        <v>71</v>
      </c>
      <c r="BB480" s="43" t="s">
        <v>69</v>
      </c>
      <c r="BC480" s="51">
        <v>31</v>
      </c>
      <c r="BD480" s="43" t="s">
        <v>70</v>
      </c>
      <c r="BE480" s="9">
        <f t="shared" si="19"/>
        <v>471</v>
      </c>
      <c r="BF480" s="9" t="str">
        <f t="shared" si="18"/>
        <v>..</v>
      </c>
    </row>
    <row r="481" spans="13:58" ht="18" customHeight="1">
      <c r="M481" s="61" t="s">
        <v>93</v>
      </c>
      <c r="N481" s="44"/>
      <c r="O481" s="44"/>
      <c r="P481" s="44"/>
      <c r="Q481" s="45"/>
      <c r="R481" s="46"/>
      <c r="S481" s="46"/>
      <c r="T481" s="46"/>
      <c r="U481" s="44" t="s">
        <v>96</v>
      </c>
      <c r="V481" s="46"/>
      <c r="W481" s="44"/>
      <c r="X481" s="44"/>
      <c r="Y481" s="44"/>
      <c r="Z481" s="44"/>
      <c r="AA481" s="44"/>
      <c r="AB481" s="42"/>
      <c r="AC481" s="47" t="s">
        <v>97</v>
      </c>
      <c r="AD481" s="48"/>
      <c r="AE481" s="43"/>
      <c r="AF481" s="43"/>
      <c r="AG481" s="43"/>
      <c r="AH481" s="43"/>
      <c r="AI481" s="55"/>
      <c r="AJ481" s="52"/>
      <c r="AT481" s="52"/>
      <c r="AU481" s="59"/>
      <c r="AV481" s="58"/>
      <c r="AW481" s="58"/>
      <c r="AX481" s="54" t="s">
        <v>69</v>
      </c>
      <c r="AY481" s="43" t="s">
        <v>70</v>
      </c>
      <c r="AZ481" s="43" t="s">
        <v>70</v>
      </c>
      <c r="BA481" s="43" t="s">
        <v>71</v>
      </c>
      <c r="BB481" s="43" t="s">
        <v>69</v>
      </c>
      <c r="BC481" s="51">
        <v>31</v>
      </c>
      <c r="BD481" s="43" t="s">
        <v>70</v>
      </c>
      <c r="BE481" s="9">
        <f t="shared" si="19"/>
        <v>472</v>
      </c>
      <c r="BF481" s="9" t="str">
        <f t="shared" si="18"/>
        <v>..</v>
      </c>
    </row>
    <row r="482" spans="13:58" ht="18" customHeight="1">
      <c r="M482" s="61" t="s">
        <v>93</v>
      </c>
      <c r="N482" s="44"/>
      <c r="O482" s="44"/>
      <c r="P482" s="44"/>
      <c r="Q482" s="45"/>
      <c r="R482" s="46"/>
      <c r="S482" s="46"/>
      <c r="T482" s="46"/>
      <c r="U482" s="44" t="s">
        <v>96</v>
      </c>
      <c r="V482" s="46"/>
      <c r="W482" s="44"/>
      <c r="X482" s="44"/>
      <c r="Y482" s="44"/>
      <c r="Z482" s="44"/>
      <c r="AA482" s="44"/>
      <c r="AB482" s="42"/>
      <c r="AC482" s="47" t="s">
        <v>97</v>
      </c>
      <c r="AD482" s="48"/>
      <c r="AE482" s="43"/>
      <c r="AF482" s="43"/>
      <c r="AG482" s="43"/>
      <c r="AH482" s="43"/>
      <c r="AI482" s="55"/>
      <c r="AJ482" s="52"/>
      <c r="AT482" s="52"/>
      <c r="AU482" s="59"/>
      <c r="AV482" s="58"/>
      <c r="AW482" s="58"/>
      <c r="AX482" s="54" t="s">
        <v>69</v>
      </c>
      <c r="AY482" s="43" t="s">
        <v>70</v>
      </c>
      <c r="AZ482" s="43" t="s">
        <v>70</v>
      </c>
      <c r="BA482" s="43" t="s">
        <v>71</v>
      </c>
      <c r="BB482" s="43" t="s">
        <v>69</v>
      </c>
      <c r="BC482" s="51">
        <v>31</v>
      </c>
      <c r="BD482" s="43" t="s">
        <v>70</v>
      </c>
      <c r="BE482" s="9">
        <f t="shared" si="19"/>
        <v>473</v>
      </c>
      <c r="BF482" s="9" t="str">
        <f t="shared" si="18"/>
        <v>..</v>
      </c>
    </row>
    <row r="483" spans="13:58" ht="18" customHeight="1">
      <c r="M483" s="61" t="s">
        <v>93</v>
      </c>
      <c r="N483" s="44"/>
      <c r="O483" s="44"/>
      <c r="P483" s="44"/>
      <c r="Q483" s="45"/>
      <c r="R483" s="46"/>
      <c r="S483" s="46"/>
      <c r="T483" s="46"/>
      <c r="U483" s="44" t="s">
        <v>96</v>
      </c>
      <c r="V483" s="46"/>
      <c r="W483" s="44"/>
      <c r="X483" s="44"/>
      <c r="Y483" s="44"/>
      <c r="Z483" s="44"/>
      <c r="AA483" s="44"/>
      <c r="AB483" s="42"/>
      <c r="AC483" s="47" t="s">
        <v>97</v>
      </c>
      <c r="AD483" s="48"/>
      <c r="AE483" s="43"/>
      <c r="AF483" s="43"/>
      <c r="AG483" s="43"/>
      <c r="AH483" s="43"/>
      <c r="AI483" s="55"/>
      <c r="AJ483" s="52"/>
      <c r="AT483" s="52"/>
      <c r="AU483" s="59"/>
      <c r="AV483" s="58"/>
      <c r="AW483" s="58"/>
      <c r="AX483" s="54" t="s">
        <v>69</v>
      </c>
      <c r="AY483" s="43" t="s">
        <v>70</v>
      </c>
      <c r="AZ483" s="43" t="s">
        <v>70</v>
      </c>
      <c r="BA483" s="43" t="s">
        <v>71</v>
      </c>
      <c r="BB483" s="43" t="s">
        <v>69</v>
      </c>
      <c r="BC483" s="51">
        <v>31</v>
      </c>
      <c r="BD483" s="43" t="s">
        <v>70</v>
      </c>
      <c r="BE483" s="9">
        <f t="shared" si="19"/>
        <v>474</v>
      </c>
      <c r="BF483" s="9" t="str">
        <f t="shared" si="18"/>
        <v>..</v>
      </c>
    </row>
    <row r="484" spans="13:58" ht="18" customHeight="1">
      <c r="M484" s="61" t="s">
        <v>93</v>
      </c>
      <c r="N484" s="44"/>
      <c r="O484" s="44"/>
      <c r="P484" s="44"/>
      <c r="Q484" s="45"/>
      <c r="R484" s="46"/>
      <c r="S484" s="46"/>
      <c r="T484" s="46"/>
      <c r="U484" s="44" t="s">
        <v>96</v>
      </c>
      <c r="V484" s="46"/>
      <c r="W484" s="44"/>
      <c r="X484" s="44"/>
      <c r="Y484" s="44"/>
      <c r="Z484" s="44"/>
      <c r="AA484" s="44"/>
      <c r="AB484" s="42"/>
      <c r="AC484" s="47" t="s">
        <v>97</v>
      </c>
      <c r="AD484" s="48"/>
      <c r="AE484" s="43"/>
      <c r="AF484" s="43"/>
      <c r="AG484" s="43"/>
      <c r="AH484" s="43"/>
      <c r="AI484" s="55"/>
      <c r="AJ484" s="52"/>
      <c r="AT484" s="52"/>
      <c r="AU484" s="59"/>
      <c r="AV484" s="58"/>
      <c r="AW484" s="58"/>
      <c r="AX484" s="54" t="s">
        <v>69</v>
      </c>
      <c r="AY484" s="43" t="s">
        <v>70</v>
      </c>
      <c r="AZ484" s="43" t="s">
        <v>70</v>
      </c>
      <c r="BA484" s="43" t="s">
        <v>71</v>
      </c>
      <c r="BB484" s="43" t="s">
        <v>69</v>
      </c>
      <c r="BC484" s="51">
        <v>31</v>
      </c>
      <c r="BD484" s="43" t="s">
        <v>70</v>
      </c>
      <c r="BE484" s="9">
        <f t="shared" si="19"/>
        <v>475</v>
      </c>
      <c r="BF484" s="9" t="str">
        <f t="shared" si="18"/>
        <v>..</v>
      </c>
    </row>
    <row r="485" spans="13:58" ht="18" customHeight="1">
      <c r="M485" s="61" t="s">
        <v>93</v>
      </c>
      <c r="N485" s="44"/>
      <c r="O485" s="44"/>
      <c r="P485" s="44"/>
      <c r="Q485" s="45"/>
      <c r="R485" s="46"/>
      <c r="S485" s="46"/>
      <c r="T485" s="46"/>
      <c r="U485" s="44" t="s">
        <v>96</v>
      </c>
      <c r="V485" s="46"/>
      <c r="W485" s="44"/>
      <c r="X485" s="44"/>
      <c r="Y485" s="44"/>
      <c r="Z485" s="44"/>
      <c r="AA485" s="44"/>
      <c r="AB485" s="42"/>
      <c r="AC485" s="47" t="s">
        <v>97</v>
      </c>
      <c r="AD485" s="48"/>
      <c r="AE485" s="43"/>
      <c r="AF485" s="43"/>
      <c r="AG485" s="43"/>
      <c r="AH485" s="43"/>
      <c r="AI485" s="55"/>
      <c r="AJ485" s="52"/>
      <c r="AT485" s="52"/>
      <c r="AU485" s="59"/>
      <c r="AV485" s="58"/>
      <c r="AW485" s="58"/>
      <c r="AX485" s="54" t="s">
        <v>69</v>
      </c>
      <c r="AY485" s="43" t="s">
        <v>70</v>
      </c>
      <c r="AZ485" s="43" t="s">
        <v>70</v>
      </c>
      <c r="BA485" s="43" t="s">
        <v>71</v>
      </c>
      <c r="BB485" s="43" t="s">
        <v>69</v>
      </c>
      <c r="BC485" s="51">
        <v>31</v>
      </c>
      <c r="BD485" s="43" t="s">
        <v>70</v>
      </c>
      <c r="BE485" s="9">
        <f t="shared" si="19"/>
        <v>476</v>
      </c>
      <c r="BF485" s="9" t="str">
        <f t="shared" si="18"/>
        <v>..</v>
      </c>
    </row>
    <row r="486" spans="13:58" ht="18" customHeight="1">
      <c r="M486" s="61" t="s">
        <v>93</v>
      </c>
      <c r="N486" s="44"/>
      <c r="O486" s="44"/>
      <c r="P486" s="44"/>
      <c r="Q486" s="45"/>
      <c r="R486" s="46"/>
      <c r="S486" s="46"/>
      <c r="T486" s="46"/>
      <c r="U486" s="44" t="s">
        <v>96</v>
      </c>
      <c r="V486" s="46"/>
      <c r="W486" s="44"/>
      <c r="X486" s="44"/>
      <c r="Y486" s="44"/>
      <c r="Z486" s="44"/>
      <c r="AA486" s="44"/>
      <c r="AB486" s="42"/>
      <c r="AC486" s="47" t="s">
        <v>97</v>
      </c>
      <c r="AD486" s="48"/>
      <c r="AE486" s="43"/>
      <c r="AF486" s="43"/>
      <c r="AG486" s="43"/>
      <c r="AH486" s="43"/>
      <c r="AI486" s="55"/>
      <c r="AJ486" s="52"/>
      <c r="AT486" s="52"/>
      <c r="AU486" s="59"/>
      <c r="AV486" s="58"/>
      <c r="AW486" s="58"/>
      <c r="AX486" s="54" t="s">
        <v>69</v>
      </c>
      <c r="AY486" s="43" t="s">
        <v>70</v>
      </c>
      <c r="AZ486" s="43" t="s">
        <v>70</v>
      </c>
      <c r="BA486" s="43" t="s">
        <v>71</v>
      </c>
      <c r="BB486" s="43" t="s">
        <v>69</v>
      </c>
      <c r="BC486" s="51">
        <v>31</v>
      </c>
      <c r="BD486" s="43" t="s">
        <v>70</v>
      </c>
      <c r="BE486" s="9">
        <f t="shared" si="19"/>
        <v>477</v>
      </c>
      <c r="BF486" s="9" t="str">
        <f t="shared" si="18"/>
        <v>..</v>
      </c>
    </row>
    <row r="487" spans="13:58" ht="18" customHeight="1">
      <c r="M487" s="61" t="s">
        <v>93</v>
      </c>
      <c r="N487" s="44"/>
      <c r="O487" s="44"/>
      <c r="P487" s="44"/>
      <c r="Q487" s="45"/>
      <c r="R487" s="46"/>
      <c r="S487" s="46"/>
      <c r="T487" s="46"/>
      <c r="U487" s="44" t="s">
        <v>96</v>
      </c>
      <c r="V487" s="46"/>
      <c r="W487" s="44"/>
      <c r="X487" s="44"/>
      <c r="Y487" s="44"/>
      <c r="Z487" s="44"/>
      <c r="AA487" s="44"/>
      <c r="AB487" s="42"/>
      <c r="AC487" s="47" t="s">
        <v>97</v>
      </c>
      <c r="AD487" s="48"/>
      <c r="AE487" s="43"/>
      <c r="AF487" s="43"/>
      <c r="AG487" s="43"/>
      <c r="AH487" s="43"/>
      <c r="AI487" s="55"/>
      <c r="AJ487" s="52"/>
      <c r="AT487" s="52"/>
      <c r="AU487" s="59"/>
      <c r="AV487" s="58"/>
      <c r="AW487" s="58"/>
      <c r="AX487" s="54" t="s">
        <v>69</v>
      </c>
      <c r="AY487" s="43" t="s">
        <v>70</v>
      </c>
      <c r="AZ487" s="43" t="s">
        <v>70</v>
      </c>
      <c r="BA487" s="43" t="s">
        <v>71</v>
      </c>
      <c r="BB487" s="43" t="s">
        <v>69</v>
      </c>
      <c r="BC487" s="51">
        <v>31</v>
      </c>
      <c r="BD487" s="43" t="s">
        <v>70</v>
      </c>
      <c r="BE487" s="9">
        <f t="shared" si="19"/>
        <v>478</v>
      </c>
      <c r="BF487" s="9" t="str">
        <f t="shared" si="18"/>
        <v>..</v>
      </c>
    </row>
    <row r="488" spans="13:58" ht="18" customHeight="1">
      <c r="M488" s="61" t="s">
        <v>93</v>
      </c>
      <c r="N488" s="44"/>
      <c r="O488" s="44"/>
      <c r="P488" s="44"/>
      <c r="Q488" s="45"/>
      <c r="R488" s="46"/>
      <c r="S488" s="46"/>
      <c r="T488" s="46"/>
      <c r="U488" s="44" t="s">
        <v>96</v>
      </c>
      <c r="V488" s="46"/>
      <c r="W488" s="44"/>
      <c r="X488" s="44"/>
      <c r="Y488" s="44"/>
      <c r="Z488" s="44"/>
      <c r="AA488" s="44"/>
      <c r="AB488" s="42"/>
      <c r="AC488" s="47" t="s">
        <v>97</v>
      </c>
      <c r="AD488" s="48"/>
      <c r="AE488" s="43"/>
      <c r="AF488" s="43"/>
      <c r="AG488" s="43"/>
      <c r="AH488" s="43"/>
      <c r="AI488" s="55"/>
      <c r="AJ488" s="52"/>
      <c r="AT488" s="52"/>
      <c r="AU488" s="59"/>
      <c r="AV488" s="58"/>
      <c r="AW488" s="58"/>
      <c r="AX488" s="54" t="s">
        <v>69</v>
      </c>
      <c r="AY488" s="43" t="s">
        <v>70</v>
      </c>
      <c r="AZ488" s="43" t="s">
        <v>70</v>
      </c>
      <c r="BA488" s="43" t="s">
        <v>71</v>
      </c>
      <c r="BB488" s="43" t="s">
        <v>69</v>
      </c>
      <c r="BC488" s="51">
        <v>31</v>
      </c>
      <c r="BD488" s="43" t="s">
        <v>70</v>
      </c>
      <c r="BE488" s="9">
        <f t="shared" si="19"/>
        <v>479</v>
      </c>
      <c r="BF488" s="9" t="str">
        <f t="shared" si="18"/>
        <v>..</v>
      </c>
    </row>
    <row r="489" spans="13:58" ht="18" customHeight="1">
      <c r="M489" s="61" t="s">
        <v>93</v>
      </c>
      <c r="N489" s="44"/>
      <c r="O489" s="44"/>
      <c r="P489" s="44"/>
      <c r="Q489" s="45"/>
      <c r="R489" s="46"/>
      <c r="S489" s="46"/>
      <c r="T489" s="46"/>
      <c r="U489" s="44" t="s">
        <v>96</v>
      </c>
      <c r="V489" s="46"/>
      <c r="W489" s="44"/>
      <c r="X489" s="44"/>
      <c r="Y489" s="44"/>
      <c r="Z489" s="44"/>
      <c r="AA489" s="44"/>
      <c r="AB489" s="42"/>
      <c r="AC489" s="47" t="s">
        <v>97</v>
      </c>
      <c r="AD489" s="48"/>
      <c r="AE489" s="43"/>
      <c r="AF489" s="43"/>
      <c r="AG489" s="43"/>
      <c r="AH489" s="43"/>
      <c r="AI489" s="55"/>
      <c r="AJ489" s="52"/>
      <c r="AT489" s="52"/>
      <c r="AU489" s="59"/>
      <c r="AV489" s="58"/>
      <c r="AW489" s="58"/>
      <c r="AX489" s="54" t="s">
        <v>69</v>
      </c>
      <c r="AY489" s="43" t="s">
        <v>70</v>
      </c>
      <c r="AZ489" s="43" t="s">
        <v>70</v>
      </c>
      <c r="BA489" s="43" t="s">
        <v>71</v>
      </c>
      <c r="BB489" s="43" t="s">
        <v>69</v>
      </c>
      <c r="BC489" s="51">
        <v>31</v>
      </c>
      <c r="BD489" s="43" t="s">
        <v>70</v>
      </c>
      <c r="BE489" s="9">
        <f t="shared" si="19"/>
        <v>480</v>
      </c>
      <c r="BF489" s="9" t="str">
        <f t="shared" si="18"/>
        <v>..</v>
      </c>
    </row>
    <row r="490" spans="13:58" ht="18" customHeight="1">
      <c r="M490" s="61" t="s">
        <v>93</v>
      </c>
      <c r="N490" s="44"/>
      <c r="O490" s="44"/>
      <c r="P490" s="44"/>
      <c r="Q490" s="45"/>
      <c r="R490" s="46"/>
      <c r="S490" s="46"/>
      <c r="T490" s="46"/>
      <c r="U490" s="44" t="s">
        <v>96</v>
      </c>
      <c r="V490" s="46"/>
      <c r="W490" s="44"/>
      <c r="X490" s="44"/>
      <c r="Y490" s="44"/>
      <c r="Z490" s="44"/>
      <c r="AA490" s="44"/>
      <c r="AB490" s="42"/>
      <c r="AC490" s="47" t="s">
        <v>97</v>
      </c>
      <c r="AD490" s="48"/>
      <c r="AE490" s="43"/>
      <c r="AF490" s="43"/>
      <c r="AG490" s="43"/>
      <c r="AH490" s="43"/>
      <c r="AI490" s="55"/>
      <c r="AJ490" s="52"/>
      <c r="AT490" s="52"/>
      <c r="AU490" s="59"/>
      <c r="AV490" s="58"/>
      <c r="AW490" s="58"/>
      <c r="AX490" s="54" t="s">
        <v>69</v>
      </c>
      <c r="AY490" s="43" t="s">
        <v>70</v>
      </c>
      <c r="AZ490" s="43" t="s">
        <v>70</v>
      </c>
      <c r="BA490" s="43" t="s">
        <v>71</v>
      </c>
      <c r="BB490" s="43" t="s">
        <v>69</v>
      </c>
      <c r="BC490" s="51">
        <v>31</v>
      </c>
      <c r="BD490" s="43" t="s">
        <v>70</v>
      </c>
      <c r="BE490" s="9">
        <f t="shared" si="19"/>
        <v>481</v>
      </c>
      <c r="BF490" s="9" t="str">
        <f t="shared" si="18"/>
        <v>..</v>
      </c>
    </row>
    <row r="491" spans="13:58" ht="18" customHeight="1">
      <c r="M491" s="61" t="s">
        <v>93</v>
      </c>
      <c r="N491" s="44"/>
      <c r="O491" s="44"/>
      <c r="P491" s="44"/>
      <c r="Q491" s="45"/>
      <c r="R491" s="46"/>
      <c r="S491" s="46"/>
      <c r="T491" s="46"/>
      <c r="U491" s="44" t="s">
        <v>96</v>
      </c>
      <c r="V491" s="46"/>
      <c r="W491" s="44"/>
      <c r="X491" s="44"/>
      <c r="Y491" s="44"/>
      <c r="Z491" s="44"/>
      <c r="AA491" s="44"/>
      <c r="AB491" s="42"/>
      <c r="AC491" s="47" t="s">
        <v>97</v>
      </c>
      <c r="AD491" s="48"/>
      <c r="AE491" s="43"/>
      <c r="AF491" s="43"/>
      <c r="AG491" s="43"/>
      <c r="AH491" s="43"/>
      <c r="AI491" s="55"/>
      <c r="AJ491" s="52"/>
      <c r="AT491" s="52"/>
      <c r="AU491" s="59"/>
      <c r="AV491" s="58"/>
      <c r="AW491" s="58"/>
      <c r="AX491" s="54" t="s">
        <v>69</v>
      </c>
      <c r="AY491" s="43" t="s">
        <v>70</v>
      </c>
      <c r="AZ491" s="43" t="s">
        <v>70</v>
      </c>
      <c r="BA491" s="43" t="s">
        <v>71</v>
      </c>
      <c r="BB491" s="43" t="s">
        <v>69</v>
      </c>
      <c r="BC491" s="51">
        <v>31</v>
      </c>
      <c r="BD491" s="43" t="s">
        <v>70</v>
      </c>
      <c r="BE491" s="9">
        <f t="shared" si="19"/>
        <v>482</v>
      </c>
      <c r="BF491" s="9" t="str">
        <f t="shared" si="18"/>
        <v>..</v>
      </c>
    </row>
    <row r="492" spans="13:58" ht="18" customHeight="1">
      <c r="M492" s="61" t="s">
        <v>93</v>
      </c>
      <c r="N492" s="44"/>
      <c r="O492" s="44"/>
      <c r="P492" s="44"/>
      <c r="Q492" s="45"/>
      <c r="R492" s="46"/>
      <c r="S492" s="46"/>
      <c r="T492" s="46"/>
      <c r="U492" s="44" t="s">
        <v>96</v>
      </c>
      <c r="V492" s="46"/>
      <c r="W492" s="44"/>
      <c r="X492" s="44"/>
      <c r="Y492" s="44"/>
      <c r="Z492" s="44"/>
      <c r="AA492" s="44"/>
      <c r="AB492" s="42"/>
      <c r="AC492" s="47" t="s">
        <v>97</v>
      </c>
      <c r="AD492" s="48"/>
      <c r="AE492" s="43"/>
      <c r="AF492" s="43"/>
      <c r="AG492" s="43"/>
      <c r="AH492" s="43"/>
      <c r="AI492" s="55"/>
      <c r="AJ492" s="52"/>
      <c r="AT492" s="52"/>
      <c r="AU492" s="59"/>
      <c r="AV492" s="58"/>
      <c r="AW492" s="58"/>
      <c r="AX492" s="54" t="s">
        <v>69</v>
      </c>
      <c r="AY492" s="43" t="s">
        <v>70</v>
      </c>
      <c r="AZ492" s="43" t="s">
        <v>70</v>
      </c>
      <c r="BA492" s="43" t="s">
        <v>71</v>
      </c>
      <c r="BB492" s="43" t="s">
        <v>69</v>
      </c>
      <c r="BC492" s="51">
        <v>31</v>
      </c>
      <c r="BD492" s="43" t="s">
        <v>70</v>
      </c>
      <c r="BE492" s="9">
        <f t="shared" si="19"/>
        <v>483</v>
      </c>
      <c r="BF492" s="9" t="str">
        <f t="shared" si="18"/>
        <v>..</v>
      </c>
    </row>
    <row r="493" spans="13:58" ht="18" customHeight="1">
      <c r="M493" s="61" t="s">
        <v>93</v>
      </c>
      <c r="N493" s="44"/>
      <c r="O493" s="44"/>
      <c r="P493" s="44"/>
      <c r="Q493" s="45"/>
      <c r="R493" s="46"/>
      <c r="S493" s="46"/>
      <c r="T493" s="46"/>
      <c r="U493" s="44" t="s">
        <v>96</v>
      </c>
      <c r="V493" s="46"/>
      <c r="W493" s="44"/>
      <c r="X493" s="44"/>
      <c r="Y493" s="44"/>
      <c r="Z493" s="44"/>
      <c r="AA493" s="44"/>
      <c r="AB493" s="42"/>
      <c r="AC493" s="47" t="s">
        <v>97</v>
      </c>
      <c r="AD493" s="48"/>
      <c r="AE493" s="43"/>
      <c r="AF493" s="43"/>
      <c r="AG493" s="43"/>
      <c r="AH493" s="43"/>
      <c r="AI493" s="55"/>
      <c r="AJ493" s="52"/>
      <c r="AT493" s="52"/>
      <c r="AU493" s="59"/>
      <c r="AV493" s="58"/>
      <c r="AW493" s="58"/>
      <c r="AX493" s="54" t="s">
        <v>69</v>
      </c>
      <c r="AY493" s="43" t="s">
        <v>70</v>
      </c>
      <c r="AZ493" s="43" t="s">
        <v>70</v>
      </c>
      <c r="BA493" s="43" t="s">
        <v>71</v>
      </c>
      <c r="BB493" s="43" t="s">
        <v>69</v>
      </c>
      <c r="BC493" s="51">
        <v>31</v>
      </c>
      <c r="BD493" s="43" t="s">
        <v>70</v>
      </c>
      <c r="BE493" s="9">
        <f t="shared" si="19"/>
        <v>484</v>
      </c>
      <c r="BF493" s="9" t="str">
        <f t="shared" si="18"/>
        <v>..</v>
      </c>
    </row>
    <row r="494" spans="13:58" ht="18" customHeight="1">
      <c r="M494" s="61" t="s">
        <v>93</v>
      </c>
      <c r="N494" s="44"/>
      <c r="O494" s="44"/>
      <c r="P494" s="44"/>
      <c r="Q494" s="45"/>
      <c r="R494" s="46"/>
      <c r="S494" s="46"/>
      <c r="T494" s="46"/>
      <c r="U494" s="44" t="s">
        <v>96</v>
      </c>
      <c r="V494" s="46"/>
      <c r="W494" s="44"/>
      <c r="X494" s="44"/>
      <c r="Y494" s="44"/>
      <c r="Z494" s="44"/>
      <c r="AA494" s="44"/>
      <c r="AB494" s="42"/>
      <c r="AC494" s="47" t="s">
        <v>97</v>
      </c>
      <c r="AD494" s="48"/>
      <c r="AE494" s="43"/>
      <c r="AF494" s="43"/>
      <c r="AG494" s="43"/>
      <c r="AH494" s="43"/>
      <c r="AI494" s="55"/>
      <c r="AJ494" s="52"/>
      <c r="AT494" s="52"/>
      <c r="AU494" s="59"/>
      <c r="AV494" s="58"/>
      <c r="AW494" s="58"/>
      <c r="AX494" s="54" t="s">
        <v>69</v>
      </c>
      <c r="AY494" s="43" t="s">
        <v>70</v>
      </c>
      <c r="AZ494" s="43" t="s">
        <v>70</v>
      </c>
      <c r="BA494" s="43" t="s">
        <v>71</v>
      </c>
      <c r="BB494" s="43" t="s">
        <v>69</v>
      </c>
      <c r="BC494" s="51">
        <v>31</v>
      </c>
      <c r="BD494" s="43" t="s">
        <v>70</v>
      </c>
      <c r="BE494" s="9">
        <f t="shared" si="19"/>
        <v>485</v>
      </c>
      <c r="BF494" s="9" t="str">
        <f t="shared" si="18"/>
        <v>..</v>
      </c>
    </row>
    <row r="495" spans="13:58" ht="18" customHeight="1">
      <c r="M495" s="61" t="s">
        <v>93</v>
      </c>
      <c r="N495" s="44"/>
      <c r="O495" s="44"/>
      <c r="P495" s="44"/>
      <c r="Q495" s="45"/>
      <c r="R495" s="46"/>
      <c r="S495" s="46"/>
      <c r="T495" s="46"/>
      <c r="U495" s="44" t="s">
        <v>96</v>
      </c>
      <c r="V495" s="46"/>
      <c r="W495" s="44"/>
      <c r="X495" s="44"/>
      <c r="Y495" s="44"/>
      <c r="Z495" s="44"/>
      <c r="AA495" s="44"/>
      <c r="AB495" s="42"/>
      <c r="AC495" s="47" t="s">
        <v>97</v>
      </c>
      <c r="AD495" s="48"/>
      <c r="AE495" s="43"/>
      <c r="AF495" s="43"/>
      <c r="AG495" s="43"/>
      <c r="AH495" s="43"/>
      <c r="AI495" s="55"/>
      <c r="AJ495" s="52"/>
      <c r="AT495" s="52"/>
      <c r="AU495" s="59"/>
      <c r="AV495" s="58"/>
      <c r="AW495" s="58"/>
      <c r="AX495" s="54" t="s">
        <v>69</v>
      </c>
      <c r="AY495" s="43" t="s">
        <v>70</v>
      </c>
      <c r="AZ495" s="43" t="s">
        <v>70</v>
      </c>
      <c r="BA495" s="43" t="s">
        <v>71</v>
      </c>
      <c r="BB495" s="43" t="s">
        <v>69</v>
      </c>
      <c r="BC495" s="51">
        <v>31</v>
      </c>
      <c r="BD495" s="43" t="s">
        <v>70</v>
      </c>
      <c r="BE495" s="9">
        <f t="shared" si="19"/>
        <v>486</v>
      </c>
      <c r="BF495" s="9" t="str">
        <f t="shared" si="18"/>
        <v>..</v>
      </c>
    </row>
    <row r="496" spans="13:58" ht="18" customHeight="1">
      <c r="M496" s="61" t="s">
        <v>93</v>
      </c>
      <c r="N496" s="44"/>
      <c r="O496" s="44"/>
      <c r="P496" s="44"/>
      <c r="Q496" s="45"/>
      <c r="R496" s="46"/>
      <c r="S496" s="46"/>
      <c r="T496" s="46"/>
      <c r="U496" s="44" t="s">
        <v>96</v>
      </c>
      <c r="V496" s="46"/>
      <c r="W496" s="44"/>
      <c r="X496" s="44"/>
      <c r="Y496" s="44"/>
      <c r="Z496" s="44"/>
      <c r="AA496" s="44"/>
      <c r="AB496" s="42"/>
      <c r="AC496" s="47" t="s">
        <v>97</v>
      </c>
      <c r="AD496" s="48"/>
      <c r="AE496" s="43"/>
      <c r="AF496" s="43"/>
      <c r="AG496" s="43"/>
      <c r="AH496" s="43"/>
      <c r="AI496" s="55"/>
      <c r="AJ496" s="52"/>
      <c r="AT496" s="52"/>
      <c r="AU496" s="59"/>
      <c r="AV496" s="58"/>
      <c r="AW496" s="58"/>
      <c r="AX496" s="54" t="s">
        <v>69</v>
      </c>
      <c r="AY496" s="43" t="s">
        <v>70</v>
      </c>
      <c r="AZ496" s="43" t="s">
        <v>70</v>
      </c>
      <c r="BA496" s="43" t="s">
        <v>71</v>
      </c>
      <c r="BB496" s="43" t="s">
        <v>69</v>
      </c>
      <c r="BC496" s="51">
        <v>31</v>
      </c>
      <c r="BD496" s="43" t="s">
        <v>70</v>
      </c>
      <c r="BE496" s="9">
        <f t="shared" si="19"/>
        <v>487</v>
      </c>
      <c r="BF496" s="9" t="str">
        <f t="shared" si="18"/>
        <v>..</v>
      </c>
    </row>
    <row r="497" spans="13:58" ht="18" customHeight="1">
      <c r="M497" s="61" t="s">
        <v>93</v>
      </c>
      <c r="N497" s="44"/>
      <c r="O497" s="44"/>
      <c r="P497" s="44"/>
      <c r="Q497" s="45"/>
      <c r="R497" s="46"/>
      <c r="S497" s="46"/>
      <c r="T497" s="46"/>
      <c r="U497" s="44" t="s">
        <v>96</v>
      </c>
      <c r="V497" s="46"/>
      <c r="W497" s="44"/>
      <c r="X497" s="44"/>
      <c r="Y497" s="44"/>
      <c r="Z497" s="44"/>
      <c r="AA497" s="44"/>
      <c r="AB497" s="42"/>
      <c r="AC497" s="47" t="s">
        <v>97</v>
      </c>
      <c r="AD497" s="48"/>
      <c r="AE497" s="43"/>
      <c r="AF497" s="43"/>
      <c r="AG497" s="43"/>
      <c r="AH497" s="43"/>
      <c r="AI497" s="55"/>
      <c r="AJ497" s="52"/>
      <c r="AT497" s="52"/>
      <c r="AU497" s="59"/>
      <c r="AV497" s="58"/>
      <c r="AW497" s="58"/>
      <c r="AX497" s="54" t="s">
        <v>69</v>
      </c>
      <c r="AY497" s="43" t="s">
        <v>70</v>
      </c>
      <c r="AZ497" s="43" t="s">
        <v>70</v>
      </c>
      <c r="BA497" s="43" t="s">
        <v>71</v>
      </c>
      <c r="BB497" s="43" t="s">
        <v>69</v>
      </c>
      <c r="BC497" s="51">
        <v>31</v>
      </c>
      <c r="BD497" s="43" t="s">
        <v>70</v>
      </c>
      <c r="BE497" s="9">
        <f t="shared" si="19"/>
        <v>488</v>
      </c>
      <c r="BF497" s="9" t="str">
        <f t="shared" si="18"/>
        <v>..</v>
      </c>
    </row>
    <row r="498" spans="13:58" ht="18" customHeight="1">
      <c r="M498" s="61" t="s">
        <v>93</v>
      </c>
      <c r="N498" s="44"/>
      <c r="O498" s="44"/>
      <c r="P498" s="44"/>
      <c r="Q498" s="45"/>
      <c r="R498" s="46"/>
      <c r="S498" s="46"/>
      <c r="T498" s="46"/>
      <c r="U498" s="44" t="s">
        <v>96</v>
      </c>
      <c r="V498" s="46"/>
      <c r="W498" s="44"/>
      <c r="X498" s="44"/>
      <c r="Y498" s="44"/>
      <c r="Z498" s="44"/>
      <c r="AA498" s="44"/>
      <c r="AB498" s="42"/>
      <c r="AC498" s="47" t="s">
        <v>97</v>
      </c>
      <c r="AD498" s="48"/>
      <c r="AE498" s="43"/>
      <c r="AF498" s="43"/>
      <c r="AG498" s="43"/>
      <c r="AH498" s="43"/>
      <c r="AI498" s="55"/>
      <c r="AJ498" s="52"/>
      <c r="AT498" s="52"/>
      <c r="AU498" s="59"/>
      <c r="AV498" s="58"/>
      <c r="AW498" s="58"/>
      <c r="AX498" s="54" t="s">
        <v>69</v>
      </c>
      <c r="AY498" s="43" t="s">
        <v>70</v>
      </c>
      <c r="AZ498" s="43" t="s">
        <v>70</v>
      </c>
      <c r="BA498" s="43" t="s">
        <v>71</v>
      </c>
      <c r="BB498" s="43" t="s">
        <v>69</v>
      </c>
      <c r="BC498" s="51">
        <v>31</v>
      </c>
      <c r="BD498" s="43" t="s">
        <v>70</v>
      </c>
      <c r="BE498" s="9">
        <f t="shared" si="19"/>
        <v>489</v>
      </c>
      <c r="BF498" s="9" t="str">
        <f t="shared" si="18"/>
        <v>..</v>
      </c>
    </row>
    <row r="499" spans="13:58" ht="18" customHeight="1">
      <c r="M499" s="61" t="s">
        <v>93</v>
      </c>
      <c r="N499" s="44"/>
      <c r="O499" s="44"/>
      <c r="P499" s="44"/>
      <c r="Q499" s="45"/>
      <c r="R499" s="46"/>
      <c r="S499" s="46"/>
      <c r="T499" s="46"/>
      <c r="U499" s="44" t="s">
        <v>96</v>
      </c>
      <c r="V499" s="46"/>
      <c r="W499" s="44"/>
      <c r="X499" s="44"/>
      <c r="Y499" s="44"/>
      <c r="Z499" s="44"/>
      <c r="AA499" s="44"/>
      <c r="AB499" s="42"/>
      <c r="AC499" s="47" t="s">
        <v>97</v>
      </c>
      <c r="AD499" s="48"/>
      <c r="AE499" s="43"/>
      <c r="AF499" s="43"/>
      <c r="AG499" s="43"/>
      <c r="AH499" s="43"/>
      <c r="AI499" s="55"/>
      <c r="AJ499" s="52"/>
      <c r="AT499" s="52"/>
      <c r="AU499" s="59"/>
      <c r="AV499" s="58"/>
      <c r="AW499" s="58"/>
      <c r="AX499" s="54" t="s">
        <v>69</v>
      </c>
      <c r="AY499" s="43" t="s">
        <v>70</v>
      </c>
      <c r="AZ499" s="43" t="s">
        <v>70</v>
      </c>
      <c r="BA499" s="43" t="s">
        <v>71</v>
      </c>
      <c r="BB499" s="43" t="s">
        <v>69</v>
      </c>
      <c r="BC499" s="51">
        <v>31</v>
      </c>
      <c r="BD499" s="43" t="s">
        <v>70</v>
      </c>
      <c r="BE499" s="9">
        <f t="shared" si="19"/>
        <v>490</v>
      </c>
      <c r="BF499" s="9" t="str">
        <f t="shared" si="18"/>
        <v>..</v>
      </c>
    </row>
    <row r="500" spans="13:58" ht="18" customHeight="1">
      <c r="M500" s="61" t="s">
        <v>93</v>
      </c>
      <c r="N500" s="44"/>
      <c r="O500" s="44"/>
      <c r="P500" s="44"/>
      <c r="Q500" s="45"/>
      <c r="R500" s="46"/>
      <c r="S500" s="46"/>
      <c r="T500" s="46"/>
      <c r="U500" s="44" t="s">
        <v>96</v>
      </c>
      <c r="V500" s="46"/>
      <c r="W500" s="44"/>
      <c r="X500" s="44"/>
      <c r="Y500" s="44"/>
      <c r="Z500" s="44"/>
      <c r="AA500" s="44"/>
      <c r="AB500" s="42"/>
      <c r="AC500" s="47" t="s">
        <v>97</v>
      </c>
      <c r="AD500" s="48"/>
      <c r="AE500" s="43"/>
      <c r="AF500" s="43"/>
      <c r="AG500" s="43"/>
      <c r="AH500" s="43"/>
      <c r="AI500" s="55"/>
      <c r="AJ500" s="52"/>
      <c r="AT500" s="52"/>
      <c r="AU500" s="59"/>
      <c r="AV500" s="58"/>
      <c r="AW500" s="58"/>
      <c r="AX500" s="54" t="s">
        <v>69</v>
      </c>
      <c r="AY500" s="43" t="s">
        <v>70</v>
      </c>
      <c r="AZ500" s="43" t="s">
        <v>70</v>
      </c>
      <c r="BA500" s="43" t="s">
        <v>71</v>
      </c>
      <c r="BB500" s="43" t="s">
        <v>69</v>
      </c>
      <c r="BC500" s="51">
        <v>31</v>
      </c>
      <c r="BD500" s="43" t="s">
        <v>70</v>
      </c>
      <c r="BE500" s="9">
        <f t="shared" si="19"/>
        <v>491</v>
      </c>
      <c r="BF500" s="9" t="str">
        <f t="shared" si="18"/>
        <v>..</v>
      </c>
    </row>
    <row r="501" spans="13:58" ht="18" customHeight="1">
      <c r="M501" s="61" t="s">
        <v>93</v>
      </c>
      <c r="N501" s="44"/>
      <c r="O501" s="44"/>
      <c r="P501" s="44"/>
      <c r="Q501" s="45"/>
      <c r="R501" s="46"/>
      <c r="S501" s="46"/>
      <c r="T501" s="46"/>
      <c r="U501" s="44" t="s">
        <v>96</v>
      </c>
      <c r="V501" s="46"/>
      <c r="W501" s="44"/>
      <c r="X501" s="44"/>
      <c r="Y501" s="44"/>
      <c r="Z501" s="44"/>
      <c r="AA501" s="44"/>
      <c r="AB501" s="42"/>
      <c r="AC501" s="47" t="s">
        <v>97</v>
      </c>
      <c r="AD501" s="48"/>
      <c r="AE501" s="43"/>
      <c r="AF501" s="43"/>
      <c r="AG501" s="43"/>
      <c r="AH501" s="43"/>
      <c r="AI501" s="55"/>
      <c r="AJ501" s="52"/>
      <c r="AT501" s="52"/>
      <c r="AU501" s="59"/>
      <c r="AV501" s="58"/>
      <c r="AW501" s="58"/>
      <c r="AX501" s="54" t="s">
        <v>69</v>
      </c>
      <c r="AY501" s="43" t="s">
        <v>70</v>
      </c>
      <c r="AZ501" s="43" t="s">
        <v>70</v>
      </c>
      <c r="BA501" s="43" t="s">
        <v>71</v>
      </c>
      <c r="BB501" s="43" t="s">
        <v>69</v>
      </c>
      <c r="BC501" s="51">
        <v>31</v>
      </c>
      <c r="BD501" s="43" t="s">
        <v>70</v>
      </c>
      <c r="BE501" s="9">
        <f t="shared" si="19"/>
        <v>492</v>
      </c>
      <c r="BF501" s="9" t="str">
        <f t="shared" si="18"/>
        <v>..</v>
      </c>
    </row>
    <row r="502" spans="13:58" ht="18" customHeight="1">
      <c r="M502" s="61" t="s">
        <v>93</v>
      </c>
      <c r="N502" s="44"/>
      <c r="O502" s="44"/>
      <c r="P502" s="44"/>
      <c r="Q502" s="45"/>
      <c r="R502" s="46"/>
      <c r="S502" s="46"/>
      <c r="T502" s="46"/>
      <c r="U502" s="44" t="s">
        <v>96</v>
      </c>
      <c r="V502" s="46"/>
      <c r="W502" s="44"/>
      <c r="X502" s="44"/>
      <c r="Y502" s="44"/>
      <c r="Z502" s="44"/>
      <c r="AA502" s="44"/>
      <c r="AB502" s="42"/>
      <c r="AC502" s="47" t="s">
        <v>97</v>
      </c>
      <c r="AD502" s="48"/>
      <c r="AE502" s="43"/>
      <c r="AF502" s="43"/>
      <c r="AG502" s="43"/>
      <c r="AH502" s="43"/>
      <c r="AI502" s="55"/>
      <c r="AJ502" s="52"/>
      <c r="AT502" s="52"/>
      <c r="AU502" s="59"/>
      <c r="AV502" s="58"/>
      <c r="AW502" s="58"/>
      <c r="AX502" s="54" t="s">
        <v>69</v>
      </c>
      <c r="AY502" s="43" t="s">
        <v>70</v>
      </c>
      <c r="AZ502" s="43" t="s">
        <v>70</v>
      </c>
      <c r="BA502" s="43" t="s">
        <v>71</v>
      </c>
      <c r="BB502" s="43" t="s">
        <v>69</v>
      </c>
      <c r="BC502" s="51">
        <v>31</v>
      </c>
      <c r="BD502" s="43" t="s">
        <v>70</v>
      </c>
      <c r="BE502" s="9">
        <f t="shared" si="19"/>
        <v>493</v>
      </c>
      <c r="BF502" s="9" t="str">
        <f t="shared" si="18"/>
        <v>..</v>
      </c>
    </row>
    <row r="503" spans="13:58" ht="18" customHeight="1">
      <c r="M503" s="61" t="s">
        <v>93</v>
      </c>
      <c r="N503" s="44"/>
      <c r="O503" s="44"/>
      <c r="P503" s="44"/>
      <c r="Q503" s="45"/>
      <c r="R503" s="46"/>
      <c r="S503" s="46"/>
      <c r="T503" s="46"/>
      <c r="U503" s="44" t="s">
        <v>96</v>
      </c>
      <c r="V503" s="46"/>
      <c r="W503" s="44"/>
      <c r="X503" s="44"/>
      <c r="Y503" s="44"/>
      <c r="Z503" s="44"/>
      <c r="AA503" s="44"/>
      <c r="AB503" s="42"/>
      <c r="AC503" s="47" t="s">
        <v>97</v>
      </c>
      <c r="AD503" s="48"/>
      <c r="AE503" s="43"/>
      <c r="AF503" s="43"/>
      <c r="AG503" s="43"/>
      <c r="AH503" s="43"/>
      <c r="AI503" s="55"/>
      <c r="AJ503" s="52"/>
      <c r="AT503" s="52"/>
      <c r="AU503" s="59"/>
      <c r="AV503" s="58"/>
      <c r="AW503" s="58"/>
      <c r="AX503" s="54" t="s">
        <v>69</v>
      </c>
      <c r="AY503" s="43" t="s">
        <v>70</v>
      </c>
      <c r="AZ503" s="43" t="s">
        <v>70</v>
      </c>
      <c r="BA503" s="43" t="s">
        <v>71</v>
      </c>
      <c r="BB503" s="43" t="s">
        <v>69</v>
      </c>
      <c r="BC503" s="51">
        <v>31</v>
      </c>
      <c r="BD503" s="43" t="s">
        <v>70</v>
      </c>
      <c r="BE503" s="9">
        <f t="shared" si="19"/>
        <v>494</v>
      </c>
      <c r="BF503" s="9" t="str">
        <f t="shared" si="18"/>
        <v>..</v>
      </c>
    </row>
    <row r="504" spans="13:58" ht="18" customHeight="1">
      <c r="M504" s="61" t="s">
        <v>93</v>
      </c>
      <c r="N504" s="44"/>
      <c r="O504" s="44"/>
      <c r="P504" s="44"/>
      <c r="Q504" s="45"/>
      <c r="R504" s="46"/>
      <c r="S504" s="46"/>
      <c r="T504" s="46"/>
      <c r="U504" s="44" t="s">
        <v>96</v>
      </c>
      <c r="V504" s="46"/>
      <c r="W504" s="44"/>
      <c r="X504" s="44"/>
      <c r="Y504" s="44"/>
      <c r="Z504" s="44"/>
      <c r="AA504" s="44"/>
      <c r="AB504" s="42"/>
      <c r="AC504" s="47" t="s">
        <v>97</v>
      </c>
      <c r="AD504" s="48"/>
      <c r="AE504" s="43"/>
      <c r="AF504" s="43"/>
      <c r="AG504" s="43"/>
      <c r="AH504" s="43"/>
      <c r="AI504" s="55"/>
      <c r="AJ504" s="52"/>
      <c r="AT504" s="52"/>
      <c r="AU504" s="59"/>
      <c r="AV504" s="58"/>
      <c r="AW504" s="58"/>
      <c r="AX504" s="54" t="s">
        <v>69</v>
      </c>
      <c r="AY504" s="43" t="s">
        <v>70</v>
      </c>
      <c r="AZ504" s="43" t="s">
        <v>70</v>
      </c>
      <c r="BA504" s="43" t="s">
        <v>71</v>
      </c>
      <c r="BB504" s="43" t="s">
        <v>69</v>
      </c>
      <c r="BC504" s="51">
        <v>31</v>
      </c>
      <c r="BD504" s="43" t="s">
        <v>70</v>
      </c>
      <c r="BE504" s="9">
        <f t="shared" si="19"/>
        <v>495</v>
      </c>
      <c r="BF504" s="9" t="str">
        <f t="shared" si="18"/>
        <v>..</v>
      </c>
    </row>
    <row r="505" spans="13:58" ht="18" customHeight="1">
      <c r="M505" s="61" t="s">
        <v>93</v>
      </c>
      <c r="N505" s="44"/>
      <c r="O505" s="44"/>
      <c r="P505" s="44"/>
      <c r="Q505" s="45"/>
      <c r="R505" s="46"/>
      <c r="S505" s="46"/>
      <c r="T505" s="46"/>
      <c r="U505" s="44" t="s">
        <v>96</v>
      </c>
      <c r="V505" s="46"/>
      <c r="W505" s="44"/>
      <c r="X505" s="44"/>
      <c r="Y505" s="44"/>
      <c r="Z505" s="44"/>
      <c r="AA505" s="44"/>
      <c r="AB505" s="42"/>
      <c r="AC505" s="47" t="s">
        <v>97</v>
      </c>
      <c r="AD505" s="48"/>
      <c r="AE505" s="43"/>
      <c r="AF505" s="43"/>
      <c r="AG505" s="43"/>
      <c r="AH505" s="43"/>
      <c r="AI505" s="55"/>
      <c r="AJ505" s="52"/>
      <c r="AT505" s="52"/>
      <c r="AU505" s="59"/>
      <c r="AV505" s="58"/>
      <c r="AW505" s="58"/>
      <c r="AX505" s="54" t="s">
        <v>69</v>
      </c>
      <c r="AY505" s="43" t="s">
        <v>70</v>
      </c>
      <c r="AZ505" s="43" t="s">
        <v>70</v>
      </c>
      <c r="BA505" s="43" t="s">
        <v>71</v>
      </c>
      <c r="BB505" s="43" t="s">
        <v>69</v>
      </c>
      <c r="BC505" s="51">
        <v>31</v>
      </c>
      <c r="BD505" s="43" t="s">
        <v>70</v>
      </c>
      <c r="BE505" s="9">
        <f t="shared" si="19"/>
        <v>496</v>
      </c>
      <c r="BF505" s="9" t="str">
        <f t="shared" si="18"/>
        <v>..</v>
      </c>
    </row>
    <row r="506" spans="13:58" ht="18" customHeight="1">
      <c r="M506" s="61" t="s">
        <v>93</v>
      </c>
      <c r="N506" s="44"/>
      <c r="O506" s="44"/>
      <c r="P506" s="44"/>
      <c r="Q506" s="45"/>
      <c r="R506" s="46"/>
      <c r="S506" s="46"/>
      <c r="T506" s="46"/>
      <c r="U506" s="44" t="s">
        <v>96</v>
      </c>
      <c r="V506" s="46"/>
      <c r="W506" s="44"/>
      <c r="X506" s="44"/>
      <c r="Y506" s="44"/>
      <c r="Z506" s="44"/>
      <c r="AA506" s="44"/>
      <c r="AB506" s="42"/>
      <c r="AC506" s="47" t="s">
        <v>97</v>
      </c>
      <c r="AD506" s="48"/>
      <c r="AE506" s="43"/>
      <c r="AF506" s="43"/>
      <c r="AG506" s="43"/>
      <c r="AH506" s="43"/>
      <c r="AI506" s="55"/>
      <c r="AJ506" s="52"/>
      <c r="AT506" s="52"/>
      <c r="AU506" s="59"/>
      <c r="AV506" s="58"/>
      <c r="AW506" s="58"/>
      <c r="AX506" s="54" t="s">
        <v>69</v>
      </c>
      <c r="AY506" s="43" t="s">
        <v>70</v>
      </c>
      <c r="AZ506" s="43" t="s">
        <v>70</v>
      </c>
      <c r="BA506" s="43" t="s">
        <v>71</v>
      </c>
      <c r="BB506" s="43" t="s">
        <v>69</v>
      </c>
      <c r="BC506" s="51">
        <v>31</v>
      </c>
      <c r="BD506" s="43" t="s">
        <v>70</v>
      </c>
      <c r="BE506" s="9">
        <f t="shared" si="19"/>
        <v>497</v>
      </c>
      <c r="BF506" s="9" t="str">
        <f t="shared" si="18"/>
        <v>..</v>
      </c>
    </row>
    <row r="507" spans="13:58" ht="18" customHeight="1">
      <c r="M507" s="61" t="s">
        <v>93</v>
      </c>
      <c r="N507" s="44"/>
      <c r="O507" s="44"/>
      <c r="P507" s="44"/>
      <c r="Q507" s="45"/>
      <c r="R507" s="46"/>
      <c r="S507" s="46"/>
      <c r="T507" s="46"/>
      <c r="U507" s="44" t="s">
        <v>96</v>
      </c>
      <c r="V507" s="46"/>
      <c r="W507" s="44"/>
      <c r="X507" s="44"/>
      <c r="Y507" s="44"/>
      <c r="Z507" s="44"/>
      <c r="AA507" s="44"/>
      <c r="AB507" s="42"/>
      <c r="AC507" s="47" t="s">
        <v>97</v>
      </c>
      <c r="AD507" s="48"/>
      <c r="AE507" s="43"/>
      <c r="AF507" s="43"/>
      <c r="AG507" s="43"/>
      <c r="AH507" s="43"/>
      <c r="AI507" s="55"/>
      <c r="AJ507" s="52"/>
      <c r="AT507" s="52"/>
      <c r="AU507" s="59"/>
      <c r="AV507" s="58"/>
      <c r="AW507" s="58"/>
      <c r="AX507" s="54" t="s">
        <v>69</v>
      </c>
      <c r="AY507" s="43" t="s">
        <v>70</v>
      </c>
      <c r="AZ507" s="43" t="s">
        <v>70</v>
      </c>
      <c r="BA507" s="43" t="s">
        <v>71</v>
      </c>
      <c r="BB507" s="43" t="s">
        <v>69</v>
      </c>
      <c r="BC507" s="51">
        <v>31</v>
      </c>
      <c r="BD507" s="43" t="s">
        <v>70</v>
      </c>
      <c r="BE507" s="9">
        <f t="shared" si="19"/>
        <v>498</v>
      </c>
      <c r="BF507" s="9" t="str">
        <f t="shared" si="18"/>
        <v>..</v>
      </c>
    </row>
    <row r="508" spans="13:58" ht="18" customHeight="1">
      <c r="M508" s="61" t="s">
        <v>93</v>
      </c>
      <c r="N508" s="44"/>
      <c r="O508" s="44"/>
      <c r="P508" s="44"/>
      <c r="Q508" s="45"/>
      <c r="R508" s="46"/>
      <c r="S508" s="46"/>
      <c r="T508" s="46"/>
      <c r="U508" s="44" t="s">
        <v>96</v>
      </c>
      <c r="V508" s="46"/>
      <c r="W508" s="44"/>
      <c r="X508" s="44"/>
      <c r="Y508" s="44"/>
      <c r="Z508" s="44"/>
      <c r="AA508" s="44"/>
      <c r="AB508" s="42"/>
      <c r="AC508" s="47" t="s">
        <v>97</v>
      </c>
      <c r="AD508" s="48"/>
      <c r="AE508" s="43"/>
      <c r="AF508" s="43"/>
      <c r="AG508" s="43"/>
      <c r="AH508" s="43"/>
      <c r="AI508" s="55"/>
      <c r="AJ508" s="52"/>
      <c r="AT508" s="52"/>
      <c r="AU508" s="59"/>
      <c r="AV508" s="58"/>
      <c r="AW508" s="58"/>
      <c r="AX508" s="54" t="s">
        <v>69</v>
      </c>
      <c r="AY508" s="43" t="s">
        <v>70</v>
      </c>
      <c r="AZ508" s="43" t="s">
        <v>70</v>
      </c>
      <c r="BA508" s="43" t="s">
        <v>71</v>
      </c>
      <c r="BB508" s="43" t="s">
        <v>69</v>
      </c>
      <c r="BC508" s="51">
        <v>31</v>
      </c>
      <c r="BD508" s="43" t="s">
        <v>70</v>
      </c>
      <c r="BE508" s="9">
        <f t="shared" si="19"/>
        <v>499</v>
      </c>
      <c r="BF508" s="9" t="str">
        <f t="shared" si="18"/>
        <v>..</v>
      </c>
    </row>
    <row r="509" spans="13:58" ht="18" customHeight="1">
      <c r="M509" s="61" t="s">
        <v>93</v>
      </c>
      <c r="N509" s="44"/>
      <c r="O509" s="44"/>
      <c r="P509" s="44"/>
      <c r="Q509" s="45"/>
      <c r="R509" s="46"/>
      <c r="S509" s="46"/>
      <c r="T509" s="46"/>
      <c r="U509" s="44" t="s">
        <v>96</v>
      </c>
      <c r="V509" s="46"/>
      <c r="W509" s="44"/>
      <c r="X509" s="44"/>
      <c r="Y509" s="44"/>
      <c r="Z509" s="44"/>
      <c r="AA509" s="44"/>
      <c r="AB509" s="42"/>
      <c r="AC509" s="47" t="s">
        <v>97</v>
      </c>
      <c r="AD509" s="48"/>
      <c r="AE509" s="43"/>
      <c r="AF509" s="43"/>
      <c r="AG509" s="43"/>
      <c r="AH509" s="43"/>
      <c r="AI509" s="55"/>
      <c r="AJ509" s="52"/>
      <c r="AT509" s="52"/>
      <c r="AU509" s="59"/>
      <c r="AV509" s="58"/>
      <c r="AW509" s="58"/>
      <c r="AX509" s="54" t="s">
        <v>69</v>
      </c>
      <c r="AY509" s="43" t="s">
        <v>70</v>
      </c>
      <c r="AZ509" s="43" t="s">
        <v>70</v>
      </c>
      <c r="BA509" s="43" t="s">
        <v>71</v>
      </c>
      <c r="BB509" s="43" t="s">
        <v>69</v>
      </c>
      <c r="BC509" s="51">
        <v>31</v>
      </c>
      <c r="BD509" s="43" t="s">
        <v>70</v>
      </c>
      <c r="BE509" s="9">
        <f t="shared" si="19"/>
        <v>500</v>
      </c>
      <c r="BF509" s="9" t="str">
        <f t="shared" si="18"/>
        <v>..</v>
      </c>
    </row>
    <row r="510" spans="13:58" ht="18" customHeight="1">
      <c r="M510" s="61" t="s">
        <v>93</v>
      </c>
      <c r="N510" s="44"/>
      <c r="O510" s="44"/>
      <c r="P510" s="44"/>
      <c r="Q510" s="45"/>
      <c r="R510" s="46"/>
      <c r="S510" s="46"/>
      <c r="T510" s="46"/>
      <c r="U510" s="44" t="s">
        <v>96</v>
      </c>
      <c r="V510" s="46"/>
      <c r="W510" s="44"/>
      <c r="X510" s="44"/>
      <c r="Y510" s="44"/>
      <c r="Z510" s="44"/>
      <c r="AA510" s="44"/>
      <c r="AB510" s="42"/>
      <c r="AC510" s="47" t="s">
        <v>97</v>
      </c>
      <c r="AD510" s="48"/>
      <c r="AE510" s="43"/>
      <c r="AF510" s="43"/>
      <c r="AG510" s="43"/>
      <c r="AH510" s="43"/>
      <c r="AI510" s="55"/>
      <c r="AJ510" s="52"/>
      <c r="AT510" s="52"/>
      <c r="AU510" s="59"/>
      <c r="AV510" s="58"/>
      <c r="AW510" s="58"/>
      <c r="AX510" s="54" t="s">
        <v>69</v>
      </c>
      <c r="AY510" s="43" t="s">
        <v>70</v>
      </c>
      <c r="AZ510" s="43" t="s">
        <v>70</v>
      </c>
      <c r="BA510" s="43" t="s">
        <v>71</v>
      </c>
      <c r="BB510" s="43" t="s">
        <v>69</v>
      </c>
      <c r="BC510" s="51">
        <v>31</v>
      </c>
      <c r="BD510" s="43" t="s">
        <v>70</v>
      </c>
      <c r="BE510" s="9">
        <f t="shared" si="19"/>
        <v>501</v>
      </c>
      <c r="BF510" s="9" t="str">
        <f t="shared" si="18"/>
        <v>..</v>
      </c>
    </row>
    <row r="511" spans="13:58" ht="18" customHeight="1">
      <c r="M511" s="61" t="s">
        <v>93</v>
      </c>
      <c r="N511" s="44"/>
      <c r="O511" s="44"/>
      <c r="P511" s="44"/>
      <c r="Q511" s="45"/>
      <c r="R511" s="46"/>
      <c r="S511" s="46"/>
      <c r="T511" s="46"/>
      <c r="U511" s="44" t="s">
        <v>96</v>
      </c>
      <c r="V511" s="46"/>
      <c r="W511" s="44"/>
      <c r="X511" s="44"/>
      <c r="Y511" s="44"/>
      <c r="Z511" s="44"/>
      <c r="AA511" s="44"/>
      <c r="AB511" s="42"/>
      <c r="AC511" s="47" t="s">
        <v>97</v>
      </c>
      <c r="AD511" s="48"/>
      <c r="AE511" s="43"/>
      <c r="AF511" s="43"/>
      <c r="AG511" s="43"/>
      <c r="AH511" s="43"/>
      <c r="AI511" s="55"/>
      <c r="AJ511" s="52"/>
      <c r="AT511" s="52"/>
      <c r="AU511" s="59"/>
      <c r="AV511" s="58"/>
      <c r="AW511" s="58"/>
      <c r="AX511" s="54" t="s">
        <v>69</v>
      </c>
      <c r="AY511" s="43" t="s">
        <v>70</v>
      </c>
      <c r="AZ511" s="43" t="s">
        <v>70</v>
      </c>
      <c r="BA511" s="43" t="s">
        <v>71</v>
      </c>
      <c r="BB511" s="43" t="s">
        <v>69</v>
      </c>
      <c r="BC511" s="51">
        <v>31</v>
      </c>
      <c r="BD511" s="43" t="s">
        <v>70</v>
      </c>
      <c r="BE511" s="9">
        <f t="shared" si="19"/>
        <v>502</v>
      </c>
      <c r="BF511" s="9" t="str">
        <f t="shared" si="18"/>
        <v>..</v>
      </c>
    </row>
    <row r="512" spans="13:58" ht="18" customHeight="1">
      <c r="M512" s="61" t="s">
        <v>93</v>
      </c>
      <c r="N512" s="44"/>
      <c r="O512" s="44"/>
      <c r="P512" s="44"/>
      <c r="Q512" s="45"/>
      <c r="R512" s="46"/>
      <c r="S512" s="46"/>
      <c r="T512" s="46"/>
      <c r="U512" s="44" t="s">
        <v>96</v>
      </c>
      <c r="V512" s="46"/>
      <c r="W512" s="44"/>
      <c r="X512" s="44"/>
      <c r="Y512" s="44"/>
      <c r="Z512" s="44"/>
      <c r="AA512" s="44"/>
      <c r="AB512" s="42"/>
      <c r="AC512" s="47" t="s">
        <v>97</v>
      </c>
      <c r="AD512" s="48"/>
      <c r="AE512" s="43"/>
      <c r="AF512" s="43"/>
      <c r="AG512" s="43"/>
      <c r="AH512" s="43"/>
      <c r="AI512" s="55"/>
      <c r="AJ512" s="52"/>
      <c r="AT512" s="52"/>
      <c r="AU512" s="59"/>
      <c r="AV512" s="58"/>
      <c r="AW512" s="58"/>
      <c r="AX512" s="54" t="s">
        <v>69</v>
      </c>
      <c r="AY512" s="43" t="s">
        <v>70</v>
      </c>
      <c r="AZ512" s="43" t="s">
        <v>70</v>
      </c>
      <c r="BA512" s="43" t="s">
        <v>71</v>
      </c>
      <c r="BB512" s="43" t="s">
        <v>69</v>
      </c>
      <c r="BC512" s="51">
        <v>31</v>
      </c>
      <c r="BD512" s="43" t="s">
        <v>70</v>
      </c>
      <c r="BE512" s="9">
        <f t="shared" si="19"/>
        <v>503</v>
      </c>
      <c r="BF512" s="9" t="str">
        <f t="shared" si="18"/>
        <v>..</v>
      </c>
    </row>
    <row r="513" spans="13:58" ht="18" customHeight="1">
      <c r="M513" s="61" t="s">
        <v>93</v>
      </c>
      <c r="N513" s="44"/>
      <c r="O513" s="44"/>
      <c r="P513" s="44"/>
      <c r="Q513" s="45"/>
      <c r="R513" s="46"/>
      <c r="S513" s="46"/>
      <c r="T513" s="46"/>
      <c r="U513" s="44" t="s">
        <v>96</v>
      </c>
      <c r="V513" s="46"/>
      <c r="W513" s="44"/>
      <c r="X513" s="44"/>
      <c r="Y513" s="44"/>
      <c r="Z513" s="44"/>
      <c r="AA513" s="44"/>
      <c r="AB513" s="42"/>
      <c r="AC513" s="47" t="s">
        <v>97</v>
      </c>
      <c r="AD513" s="48"/>
      <c r="AE513" s="43"/>
      <c r="AF513" s="43"/>
      <c r="AG513" s="43"/>
      <c r="AH513" s="43"/>
      <c r="AI513" s="55"/>
      <c r="AJ513" s="52"/>
      <c r="AT513" s="52"/>
      <c r="AU513" s="59"/>
      <c r="AV513" s="58"/>
      <c r="AW513" s="58"/>
      <c r="AX513" s="54" t="s">
        <v>69</v>
      </c>
      <c r="AY513" s="43" t="s">
        <v>70</v>
      </c>
      <c r="AZ513" s="43" t="s">
        <v>70</v>
      </c>
      <c r="BA513" s="43" t="s">
        <v>71</v>
      </c>
      <c r="BB513" s="43" t="s">
        <v>69</v>
      </c>
      <c r="BC513" s="51">
        <v>31</v>
      </c>
      <c r="BD513" s="43" t="s">
        <v>70</v>
      </c>
      <c r="BE513" s="9">
        <f t="shared" si="19"/>
        <v>504</v>
      </c>
      <c r="BF513" s="9" t="str">
        <f t="shared" si="18"/>
        <v>..</v>
      </c>
    </row>
    <row r="514" spans="13:58" ht="18" customHeight="1">
      <c r="M514" s="61" t="s">
        <v>93</v>
      </c>
      <c r="N514" s="44"/>
      <c r="O514" s="44"/>
      <c r="P514" s="44"/>
      <c r="Q514" s="45"/>
      <c r="R514" s="46"/>
      <c r="S514" s="46"/>
      <c r="T514" s="46"/>
      <c r="U514" s="44" t="s">
        <v>96</v>
      </c>
      <c r="V514" s="46"/>
      <c r="W514" s="44"/>
      <c r="X514" s="44"/>
      <c r="Y514" s="44"/>
      <c r="Z514" s="44"/>
      <c r="AA514" s="44"/>
      <c r="AB514" s="42"/>
      <c r="AC514" s="47" t="s">
        <v>97</v>
      </c>
      <c r="AD514" s="48"/>
      <c r="AE514" s="43"/>
      <c r="AF514" s="43"/>
      <c r="AG514" s="43"/>
      <c r="AH514" s="43"/>
      <c r="AI514" s="55"/>
      <c r="AJ514" s="52"/>
      <c r="AT514" s="52"/>
      <c r="AU514" s="59"/>
      <c r="AV514" s="58"/>
      <c r="AW514" s="58"/>
      <c r="AX514" s="54" t="s">
        <v>69</v>
      </c>
      <c r="AY514" s="43" t="s">
        <v>70</v>
      </c>
      <c r="AZ514" s="43" t="s">
        <v>70</v>
      </c>
      <c r="BA514" s="43" t="s">
        <v>71</v>
      </c>
      <c r="BB514" s="43" t="s">
        <v>69</v>
      </c>
      <c r="BC514" s="51">
        <v>31</v>
      </c>
      <c r="BD514" s="43" t="s">
        <v>70</v>
      </c>
      <c r="BE514" s="9">
        <f t="shared" si="19"/>
        <v>505</v>
      </c>
      <c r="BF514" s="9" t="str">
        <f t="shared" si="18"/>
        <v>..</v>
      </c>
    </row>
    <row r="515" spans="13:58" ht="18" customHeight="1">
      <c r="M515" s="61" t="s">
        <v>93</v>
      </c>
      <c r="N515" s="44"/>
      <c r="O515" s="44"/>
      <c r="P515" s="44"/>
      <c r="Q515" s="45"/>
      <c r="R515" s="46"/>
      <c r="S515" s="46"/>
      <c r="T515" s="46"/>
      <c r="U515" s="44" t="s">
        <v>96</v>
      </c>
      <c r="V515" s="46"/>
      <c r="W515" s="44"/>
      <c r="X515" s="44"/>
      <c r="Y515" s="44"/>
      <c r="Z515" s="44"/>
      <c r="AA515" s="44"/>
      <c r="AB515" s="42"/>
      <c r="AC515" s="47" t="s">
        <v>97</v>
      </c>
      <c r="AD515" s="48"/>
      <c r="AE515" s="43"/>
      <c r="AF515" s="43"/>
      <c r="AG515" s="43"/>
      <c r="AH515" s="43"/>
      <c r="AI515" s="55"/>
      <c r="AJ515" s="52"/>
      <c r="AT515" s="52"/>
      <c r="AU515" s="59"/>
      <c r="AV515" s="58"/>
      <c r="AW515" s="58"/>
      <c r="AX515" s="54" t="s">
        <v>69</v>
      </c>
      <c r="AY515" s="43" t="s">
        <v>70</v>
      </c>
      <c r="AZ515" s="43" t="s">
        <v>70</v>
      </c>
      <c r="BA515" s="43" t="s">
        <v>71</v>
      </c>
      <c r="BB515" s="43" t="s">
        <v>69</v>
      </c>
      <c r="BC515" s="51">
        <v>31</v>
      </c>
      <c r="BD515" s="43" t="s">
        <v>70</v>
      </c>
      <c r="BE515" s="9">
        <f t="shared" si="19"/>
        <v>506</v>
      </c>
      <c r="BF515" s="9" t="str">
        <f t="shared" si="18"/>
        <v>..</v>
      </c>
    </row>
    <row r="516" spans="13:58" ht="18" customHeight="1">
      <c r="M516" s="61" t="s">
        <v>93</v>
      </c>
      <c r="N516" s="44"/>
      <c r="O516" s="44"/>
      <c r="P516" s="44"/>
      <c r="Q516" s="45"/>
      <c r="R516" s="46"/>
      <c r="S516" s="46"/>
      <c r="T516" s="46"/>
      <c r="U516" s="44" t="s">
        <v>96</v>
      </c>
      <c r="V516" s="46"/>
      <c r="W516" s="44"/>
      <c r="X516" s="44"/>
      <c r="Y516" s="44"/>
      <c r="Z516" s="44"/>
      <c r="AA516" s="44"/>
      <c r="AB516" s="42"/>
      <c r="AC516" s="47" t="s">
        <v>97</v>
      </c>
      <c r="AD516" s="48"/>
      <c r="AE516" s="43"/>
      <c r="AF516" s="43"/>
      <c r="AG516" s="43"/>
      <c r="AH516" s="43"/>
      <c r="AI516" s="55"/>
      <c r="AJ516" s="52"/>
      <c r="AT516" s="52"/>
      <c r="AU516" s="59"/>
      <c r="AV516" s="58"/>
      <c r="AW516" s="58"/>
      <c r="AX516" s="54" t="s">
        <v>69</v>
      </c>
      <c r="AY516" s="43" t="s">
        <v>70</v>
      </c>
      <c r="AZ516" s="43" t="s">
        <v>70</v>
      </c>
      <c r="BA516" s="43" t="s">
        <v>71</v>
      </c>
      <c r="BB516" s="43" t="s">
        <v>69</v>
      </c>
      <c r="BC516" s="51">
        <v>31</v>
      </c>
      <c r="BD516" s="43" t="s">
        <v>70</v>
      </c>
      <c r="BE516" s="9">
        <f t="shared" si="19"/>
        <v>507</v>
      </c>
      <c r="BF516" s="9" t="str">
        <f t="shared" si="18"/>
        <v>..</v>
      </c>
    </row>
    <row r="517" spans="13:58" ht="18" customHeight="1">
      <c r="M517" s="61" t="s">
        <v>93</v>
      </c>
      <c r="N517" s="44"/>
      <c r="O517" s="44"/>
      <c r="P517" s="44"/>
      <c r="Q517" s="45"/>
      <c r="R517" s="46"/>
      <c r="S517" s="46"/>
      <c r="T517" s="46"/>
      <c r="U517" s="44" t="s">
        <v>96</v>
      </c>
      <c r="V517" s="46"/>
      <c r="W517" s="44"/>
      <c r="X517" s="44"/>
      <c r="Y517" s="44"/>
      <c r="Z517" s="44"/>
      <c r="AA517" s="44"/>
      <c r="AB517" s="42"/>
      <c r="AC517" s="47" t="s">
        <v>97</v>
      </c>
      <c r="AD517" s="48"/>
      <c r="AE517" s="43"/>
      <c r="AF517" s="43"/>
      <c r="AG517" s="43"/>
      <c r="AH517" s="43"/>
      <c r="AI517" s="55"/>
      <c r="AJ517" s="52"/>
      <c r="AT517" s="52"/>
      <c r="AU517" s="59"/>
      <c r="AV517" s="58"/>
      <c r="AW517" s="58"/>
      <c r="AX517" s="54" t="s">
        <v>69</v>
      </c>
      <c r="AY517" s="43" t="s">
        <v>70</v>
      </c>
      <c r="AZ517" s="43" t="s">
        <v>70</v>
      </c>
      <c r="BA517" s="43" t="s">
        <v>71</v>
      </c>
      <c r="BB517" s="43" t="s">
        <v>69</v>
      </c>
      <c r="BC517" s="51">
        <v>31</v>
      </c>
      <c r="BD517" s="43" t="s">
        <v>70</v>
      </c>
      <c r="BE517" s="9">
        <f t="shared" si="19"/>
        <v>508</v>
      </c>
      <c r="BF517" s="9" t="str">
        <f t="shared" si="18"/>
        <v>..</v>
      </c>
    </row>
    <row r="518" spans="13:58" ht="18" customHeight="1">
      <c r="M518" s="61" t="s">
        <v>93</v>
      </c>
      <c r="N518" s="44"/>
      <c r="O518" s="44"/>
      <c r="P518" s="44"/>
      <c r="Q518" s="45"/>
      <c r="R518" s="46"/>
      <c r="S518" s="46"/>
      <c r="T518" s="46"/>
      <c r="U518" s="44" t="s">
        <v>96</v>
      </c>
      <c r="V518" s="46"/>
      <c r="W518" s="44"/>
      <c r="X518" s="44"/>
      <c r="Y518" s="44"/>
      <c r="Z518" s="44"/>
      <c r="AA518" s="44"/>
      <c r="AB518" s="42"/>
      <c r="AC518" s="47" t="s">
        <v>97</v>
      </c>
      <c r="AD518" s="48"/>
      <c r="AE518" s="43"/>
      <c r="AF518" s="43"/>
      <c r="AG518" s="43"/>
      <c r="AH518" s="43"/>
      <c r="AI518" s="55"/>
      <c r="AJ518" s="52"/>
      <c r="AT518" s="52"/>
      <c r="AU518" s="59"/>
      <c r="AV518" s="58"/>
      <c r="AW518" s="58"/>
      <c r="AX518" s="54" t="s">
        <v>69</v>
      </c>
      <c r="AY518" s="43" t="s">
        <v>70</v>
      </c>
      <c r="AZ518" s="43" t="s">
        <v>70</v>
      </c>
      <c r="BA518" s="43" t="s">
        <v>71</v>
      </c>
      <c r="BB518" s="43" t="s">
        <v>69</v>
      </c>
      <c r="BC518" s="51">
        <v>31</v>
      </c>
      <c r="BD518" s="43" t="s">
        <v>70</v>
      </c>
      <c r="BE518" s="9">
        <f t="shared" si="19"/>
        <v>509</v>
      </c>
      <c r="BF518" s="9" t="str">
        <f t="shared" si="18"/>
        <v>..</v>
      </c>
    </row>
    <row r="519" spans="13:58" ht="18" customHeight="1">
      <c r="M519" s="61" t="s">
        <v>93</v>
      </c>
      <c r="N519" s="44"/>
      <c r="O519" s="44"/>
      <c r="P519" s="44"/>
      <c r="Q519" s="45"/>
      <c r="R519" s="46"/>
      <c r="S519" s="46"/>
      <c r="T519" s="46"/>
      <c r="U519" s="44" t="s">
        <v>96</v>
      </c>
      <c r="V519" s="46"/>
      <c r="W519" s="44"/>
      <c r="X519" s="44"/>
      <c r="Y519" s="44"/>
      <c r="Z519" s="44"/>
      <c r="AA519" s="44"/>
      <c r="AB519" s="42"/>
      <c r="AC519" s="47" t="s">
        <v>97</v>
      </c>
      <c r="AD519" s="48"/>
      <c r="AE519" s="43"/>
      <c r="AF519" s="43"/>
      <c r="AG519" s="43"/>
      <c r="AH519" s="43"/>
      <c r="AI519" s="55"/>
      <c r="AJ519" s="52"/>
      <c r="AT519" s="52"/>
      <c r="AU519" s="59"/>
      <c r="AV519" s="58"/>
      <c r="AW519" s="58"/>
      <c r="AX519" s="54" t="s">
        <v>69</v>
      </c>
      <c r="AY519" s="43" t="s">
        <v>70</v>
      </c>
      <c r="AZ519" s="43" t="s">
        <v>70</v>
      </c>
      <c r="BA519" s="43" t="s">
        <v>71</v>
      </c>
      <c r="BB519" s="43" t="s">
        <v>69</v>
      </c>
      <c r="BC519" s="51">
        <v>31</v>
      </c>
      <c r="BD519" s="43" t="s">
        <v>70</v>
      </c>
      <c r="BE519" s="9">
        <f t="shared" si="19"/>
        <v>510</v>
      </c>
      <c r="BF519" s="9" t="str">
        <f t="shared" si="18"/>
        <v>..</v>
      </c>
    </row>
    <row r="520" spans="13:58" ht="18" customHeight="1">
      <c r="M520" s="61" t="s">
        <v>93</v>
      </c>
      <c r="N520" s="44"/>
      <c r="O520" s="44"/>
      <c r="P520" s="44"/>
      <c r="Q520" s="45"/>
      <c r="R520" s="46"/>
      <c r="S520" s="46"/>
      <c r="T520" s="46"/>
      <c r="U520" s="44" t="s">
        <v>96</v>
      </c>
      <c r="V520" s="46"/>
      <c r="W520" s="44"/>
      <c r="X520" s="44"/>
      <c r="Y520" s="44"/>
      <c r="Z520" s="44"/>
      <c r="AA520" s="44"/>
      <c r="AB520" s="42"/>
      <c r="AC520" s="47" t="s">
        <v>97</v>
      </c>
      <c r="AD520" s="48"/>
      <c r="AE520" s="43"/>
      <c r="AF520" s="43"/>
      <c r="AG520" s="43"/>
      <c r="AH520" s="43"/>
      <c r="AI520" s="55"/>
      <c r="AJ520" s="52"/>
      <c r="AT520" s="52"/>
      <c r="AU520" s="59"/>
      <c r="AV520" s="58"/>
      <c r="AW520" s="58"/>
      <c r="AX520" s="54" t="s">
        <v>69</v>
      </c>
      <c r="AY520" s="43" t="s">
        <v>70</v>
      </c>
      <c r="AZ520" s="43" t="s">
        <v>70</v>
      </c>
      <c r="BA520" s="43" t="s">
        <v>71</v>
      </c>
      <c r="BB520" s="43" t="s">
        <v>69</v>
      </c>
      <c r="BC520" s="51">
        <v>31</v>
      </c>
      <c r="BD520" s="43" t="s">
        <v>70</v>
      </c>
      <c r="BE520" s="9">
        <f t="shared" si="19"/>
        <v>511</v>
      </c>
      <c r="BF520" s="9" t="str">
        <f t="shared" si="18"/>
        <v>..</v>
      </c>
    </row>
    <row r="521" spans="13:58" ht="18" customHeight="1">
      <c r="M521" s="61" t="s">
        <v>93</v>
      </c>
      <c r="N521" s="44"/>
      <c r="O521" s="44"/>
      <c r="P521" s="44"/>
      <c r="Q521" s="45"/>
      <c r="R521" s="46"/>
      <c r="S521" s="46"/>
      <c r="T521" s="46"/>
      <c r="U521" s="44" t="s">
        <v>96</v>
      </c>
      <c r="V521" s="46"/>
      <c r="W521" s="44"/>
      <c r="X521" s="44"/>
      <c r="Y521" s="44"/>
      <c r="Z521" s="44"/>
      <c r="AA521" s="44"/>
      <c r="AB521" s="42"/>
      <c r="AC521" s="47" t="s">
        <v>97</v>
      </c>
      <c r="AD521" s="48"/>
      <c r="AE521" s="43"/>
      <c r="AF521" s="43"/>
      <c r="AG521" s="43"/>
      <c r="AH521" s="43"/>
      <c r="AI521" s="55"/>
      <c r="AJ521" s="52"/>
      <c r="AT521" s="52"/>
      <c r="AU521" s="59"/>
      <c r="AV521" s="58"/>
      <c r="AW521" s="58"/>
      <c r="AX521" s="54" t="s">
        <v>69</v>
      </c>
      <c r="AY521" s="43" t="s">
        <v>70</v>
      </c>
      <c r="AZ521" s="43" t="s">
        <v>70</v>
      </c>
      <c r="BA521" s="43" t="s">
        <v>71</v>
      </c>
      <c r="BB521" s="43" t="s">
        <v>69</v>
      </c>
      <c r="BC521" s="51">
        <v>31</v>
      </c>
      <c r="BD521" s="43" t="s">
        <v>70</v>
      </c>
      <c r="BE521" s="9">
        <f t="shared" si="19"/>
        <v>512</v>
      </c>
      <c r="BF521" s="9" t="str">
        <f t="shared" si="18"/>
        <v>..</v>
      </c>
    </row>
    <row r="522" spans="13:58" ht="18" customHeight="1">
      <c r="M522" s="61" t="s">
        <v>93</v>
      </c>
      <c r="N522" s="44"/>
      <c r="O522" s="44"/>
      <c r="P522" s="44"/>
      <c r="Q522" s="45"/>
      <c r="R522" s="46"/>
      <c r="S522" s="46"/>
      <c r="T522" s="46"/>
      <c r="U522" s="44" t="s">
        <v>96</v>
      </c>
      <c r="V522" s="46"/>
      <c r="W522" s="44"/>
      <c r="X522" s="44"/>
      <c r="Y522" s="44"/>
      <c r="Z522" s="44"/>
      <c r="AA522" s="44"/>
      <c r="AB522" s="42"/>
      <c r="AC522" s="47" t="s">
        <v>97</v>
      </c>
      <c r="AD522" s="48"/>
      <c r="AE522" s="43"/>
      <c r="AF522" s="43"/>
      <c r="AG522" s="43"/>
      <c r="AH522" s="43"/>
      <c r="AI522" s="55"/>
      <c r="AJ522" s="52"/>
      <c r="AT522" s="52"/>
      <c r="AU522" s="59"/>
      <c r="AV522" s="58"/>
      <c r="AW522" s="58"/>
      <c r="AX522" s="54" t="s">
        <v>69</v>
      </c>
      <c r="AY522" s="43" t="s">
        <v>70</v>
      </c>
      <c r="AZ522" s="43" t="s">
        <v>70</v>
      </c>
      <c r="BA522" s="43" t="s">
        <v>71</v>
      </c>
      <c r="BB522" s="43" t="s">
        <v>69</v>
      </c>
      <c r="BC522" s="51">
        <v>31</v>
      </c>
      <c r="BD522" s="43" t="s">
        <v>70</v>
      </c>
      <c r="BE522" s="9">
        <f t="shared" si="19"/>
        <v>513</v>
      </c>
      <c r="BF522" s="9" t="str">
        <f t="shared" si="18"/>
        <v>..</v>
      </c>
    </row>
    <row r="523" spans="13:58" ht="18" customHeight="1">
      <c r="M523" s="61" t="s">
        <v>93</v>
      </c>
      <c r="N523" s="44"/>
      <c r="O523" s="44"/>
      <c r="P523" s="44"/>
      <c r="Q523" s="45"/>
      <c r="R523" s="46"/>
      <c r="S523" s="46"/>
      <c r="T523" s="46"/>
      <c r="U523" s="44" t="s">
        <v>96</v>
      </c>
      <c r="V523" s="46"/>
      <c r="W523" s="44"/>
      <c r="X523" s="44"/>
      <c r="Y523" s="44"/>
      <c r="Z523" s="44"/>
      <c r="AA523" s="44"/>
      <c r="AB523" s="42"/>
      <c r="AC523" s="47" t="s">
        <v>97</v>
      </c>
      <c r="AD523" s="48"/>
      <c r="AE523" s="43"/>
      <c r="AF523" s="43"/>
      <c r="AG523" s="43"/>
      <c r="AH523" s="43"/>
      <c r="AI523" s="55"/>
      <c r="AJ523" s="52"/>
      <c r="AT523" s="52"/>
      <c r="AU523" s="59"/>
      <c r="AV523" s="58"/>
      <c r="AW523" s="58"/>
      <c r="AX523" s="54" t="s">
        <v>69</v>
      </c>
      <c r="AY523" s="43" t="s">
        <v>70</v>
      </c>
      <c r="AZ523" s="43" t="s">
        <v>70</v>
      </c>
      <c r="BA523" s="43" t="s">
        <v>71</v>
      </c>
      <c r="BB523" s="43" t="s">
        <v>69</v>
      </c>
      <c r="BC523" s="51">
        <v>31</v>
      </c>
      <c r="BD523" s="43" t="s">
        <v>70</v>
      </c>
      <c r="BE523" s="9">
        <f t="shared" si="19"/>
        <v>514</v>
      </c>
      <c r="BF523" s="9" t="str">
        <f t="shared" si="18"/>
        <v>..</v>
      </c>
    </row>
    <row r="524" spans="13:58" ht="18" customHeight="1">
      <c r="M524" s="61" t="s">
        <v>93</v>
      </c>
      <c r="N524" s="44"/>
      <c r="O524" s="44"/>
      <c r="P524" s="44"/>
      <c r="Q524" s="45"/>
      <c r="R524" s="46"/>
      <c r="S524" s="46"/>
      <c r="T524" s="46"/>
      <c r="U524" s="44" t="s">
        <v>96</v>
      </c>
      <c r="V524" s="46"/>
      <c r="W524" s="44"/>
      <c r="X524" s="44"/>
      <c r="Y524" s="44"/>
      <c r="Z524" s="44"/>
      <c r="AA524" s="44"/>
      <c r="AB524" s="42"/>
      <c r="AC524" s="47" t="s">
        <v>97</v>
      </c>
      <c r="AD524" s="48"/>
      <c r="AE524" s="43"/>
      <c r="AF524" s="43"/>
      <c r="AG524" s="43"/>
      <c r="AH524" s="43"/>
      <c r="AI524" s="55"/>
      <c r="AJ524" s="52"/>
      <c r="AT524" s="52"/>
      <c r="AU524" s="59"/>
      <c r="AV524" s="58"/>
      <c r="AW524" s="58"/>
      <c r="AX524" s="54" t="s">
        <v>69</v>
      </c>
      <c r="AY524" s="43" t="s">
        <v>70</v>
      </c>
      <c r="AZ524" s="43" t="s">
        <v>70</v>
      </c>
      <c r="BA524" s="43" t="s">
        <v>71</v>
      </c>
      <c r="BB524" s="43" t="s">
        <v>69</v>
      </c>
      <c r="BC524" s="51">
        <v>31</v>
      </c>
      <c r="BD524" s="43" t="s">
        <v>70</v>
      </c>
      <c r="BE524" s="9">
        <f t="shared" si="19"/>
        <v>515</v>
      </c>
      <c r="BF524" s="9" t="str">
        <f t="shared" si="18"/>
        <v>..</v>
      </c>
    </row>
    <row r="525" spans="13:58" ht="18" customHeight="1">
      <c r="M525" s="61" t="s">
        <v>93</v>
      </c>
      <c r="N525" s="44"/>
      <c r="O525" s="44"/>
      <c r="P525" s="44"/>
      <c r="Q525" s="45"/>
      <c r="R525" s="46"/>
      <c r="S525" s="46"/>
      <c r="T525" s="46"/>
      <c r="U525" s="44" t="s">
        <v>96</v>
      </c>
      <c r="V525" s="46"/>
      <c r="W525" s="44"/>
      <c r="X525" s="44"/>
      <c r="Y525" s="44"/>
      <c r="Z525" s="44"/>
      <c r="AA525" s="44"/>
      <c r="AB525" s="42"/>
      <c r="AC525" s="47" t="s">
        <v>97</v>
      </c>
      <c r="AD525" s="48"/>
      <c r="AE525" s="43"/>
      <c r="AF525" s="43"/>
      <c r="AG525" s="43"/>
      <c r="AH525" s="43"/>
      <c r="AI525" s="55"/>
      <c r="AJ525" s="52"/>
      <c r="AT525" s="52"/>
      <c r="AU525" s="59"/>
      <c r="AV525" s="58"/>
      <c r="AW525" s="58"/>
      <c r="AX525" s="54" t="s">
        <v>69</v>
      </c>
      <c r="AY525" s="43" t="s">
        <v>70</v>
      </c>
      <c r="AZ525" s="43" t="s">
        <v>70</v>
      </c>
      <c r="BA525" s="43" t="s">
        <v>71</v>
      </c>
      <c r="BB525" s="43" t="s">
        <v>69</v>
      </c>
      <c r="BC525" s="51">
        <v>31</v>
      </c>
      <c r="BD525" s="43" t="s">
        <v>70</v>
      </c>
      <c r="BE525" s="9">
        <f t="shared" si="19"/>
        <v>516</v>
      </c>
      <c r="BF525" s="9" t="str">
        <f t="shared" si="18"/>
        <v>..</v>
      </c>
    </row>
    <row r="526" spans="13:58" ht="18" customHeight="1">
      <c r="M526" s="61" t="s">
        <v>93</v>
      </c>
      <c r="N526" s="44"/>
      <c r="O526" s="44"/>
      <c r="P526" s="44"/>
      <c r="Q526" s="45"/>
      <c r="R526" s="46"/>
      <c r="S526" s="46"/>
      <c r="T526" s="46"/>
      <c r="U526" s="44" t="s">
        <v>96</v>
      </c>
      <c r="V526" s="46"/>
      <c r="W526" s="44"/>
      <c r="X526" s="44"/>
      <c r="Y526" s="44"/>
      <c r="Z526" s="44"/>
      <c r="AA526" s="44"/>
      <c r="AB526" s="42"/>
      <c r="AC526" s="47" t="s">
        <v>97</v>
      </c>
      <c r="AD526" s="48"/>
      <c r="AE526" s="43"/>
      <c r="AF526" s="43"/>
      <c r="AG526" s="43"/>
      <c r="AH526" s="43"/>
      <c r="AI526" s="55"/>
      <c r="AJ526" s="52"/>
      <c r="AT526" s="52"/>
      <c r="AU526" s="59"/>
      <c r="AV526" s="58"/>
      <c r="AW526" s="58"/>
      <c r="AX526" s="54" t="s">
        <v>69</v>
      </c>
      <c r="AY526" s="43" t="s">
        <v>70</v>
      </c>
      <c r="AZ526" s="43" t="s">
        <v>70</v>
      </c>
      <c r="BA526" s="43" t="s">
        <v>71</v>
      </c>
      <c r="BB526" s="43" t="s">
        <v>69</v>
      </c>
      <c r="BC526" s="51">
        <v>31</v>
      </c>
      <c r="BD526" s="43" t="s">
        <v>70</v>
      </c>
      <c r="BE526" s="9">
        <f t="shared" si="19"/>
        <v>517</v>
      </c>
      <c r="BF526" s="9" t="str">
        <f t="shared" si="18"/>
        <v>..</v>
      </c>
    </row>
    <row r="527" spans="13:58" ht="18" customHeight="1">
      <c r="M527" s="61" t="s">
        <v>93</v>
      </c>
      <c r="N527" s="44"/>
      <c r="O527" s="44"/>
      <c r="P527" s="44"/>
      <c r="Q527" s="45"/>
      <c r="R527" s="46"/>
      <c r="S527" s="46"/>
      <c r="T527" s="46"/>
      <c r="U527" s="44" t="s">
        <v>96</v>
      </c>
      <c r="V527" s="46"/>
      <c r="W527" s="44"/>
      <c r="X527" s="44"/>
      <c r="Y527" s="44"/>
      <c r="Z527" s="44"/>
      <c r="AA527" s="44"/>
      <c r="AB527" s="42"/>
      <c r="AC527" s="47" t="s">
        <v>97</v>
      </c>
      <c r="AD527" s="48"/>
      <c r="AE527" s="43"/>
      <c r="AF527" s="43"/>
      <c r="AG527" s="43"/>
      <c r="AH527" s="43"/>
      <c r="AI527" s="55"/>
      <c r="AJ527" s="52"/>
      <c r="AT527" s="52"/>
      <c r="AU527" s="59"/>
      <c r="AV527" s="58"/>
      <c r="AW527" s="58"/>
      <c r="AX527" s="54" t="s">
        <v>69</v>
      </c>
      <c r="AY527" s="43" t="s">
        <v>70</v>
      </c>
      <c r="AZ527" s="43" t="s">
        <v>70</v>
      </c>
      <c r="BA527" s="43" t="s">
        <v>71</v>
      </c>
      <c r="BB527" s="43" t="s">
        <v>69</v>
      </c>
      <c r="BC527" s="51">
        <v>31</v>
      </c>
      <c r="BD527" s="43" t="s">
        <v>70</v>
      </c>
      <c r="BE527" s="9">
        <f t="shared" si="19"/>
        <v>518</v>
      </c>
      <c r="BF527" s="9" t="str">
        <f t="shared" ref="BF527:BF582" si="20">CONCATENATE(AB527,".",AD527,".",AJ527)</f>
        <v>..</v>
      </c>
    </row>
    <row r="528" spans="13:58" ht="18" customHeight="1">
      <c r="M528" s="61" t="s">
        <v>93</v>
      </c>
      <c r="N528" s="44"/>
      <c r="O528" s="44"/>
      <c r="P528" s="44"/>
      <c r="Q528" s="45"/>
      <c r="R528" s="46"/>
      <c r="S528" s="46"/>
      <c r="T528" s="46"/>
      <c r="U528" s="44" t="s">
        <v>96</v>
      </c>
      <c r="V528" s="46"/>
      <c r="W528" s="44"/>
      <c r="X528" s="44"/>
      <c r="Y528" s="44"/>
      <c r="Z528" s="44"/>
      <c r="AA528" s="44"/>
      <c r="AB528" s="42"/>
      <c r="AC528" s="47" t="s">
        <v>97</v>
      </c>
      <c r="AD528" s="48"/>
      <c r="AE528" s="43"/>
      <c r="AF528" s="43"/>
      <c r="AG528" s="43"/>
      <c r="AH528" s="43"/>
      <c r="AI528" s="55"/>
      <c r="AJ528" s="52"/>
      <c r="AT528" s="52"/>
      <c r="AU528" s="59"/>
      <c r="AV528" s="58"/>
      <c r="AW528" s="58"/>
      <c r="AX528" s="54" t="s">
        <v>69</v>
      </c>
      <c r="AY528" s="43" t="s">
        <v>70</v>
      </c>
      <c r="AZ528" s="43" t="s">
        <v>70</v>
      </c>
      <c r="BA528" s="43" t="s">
        <v>71</v>
      </c>
      <c r="BB528" s="43" t="s">
        <v>69</v>
      </c>
      <c r="BC528" s="51">
        <v>31</v>
      </c>
      <c r="BD528" s="43" t="s">
        <v>70</v>
      </c>
      <c r="BE528" s="9">
        <f t="shared" ref="BE528:BE591" si="21">ROW()-ROW($BE$9)</f>
        <v>519</v>
      </c>
      <c r="BF528" s="9" t="str">
        <f t="shared" si="20"/>
        <v>..</v>
      </c>
    </row>
    <row r="529" spans="13:58" ht="18" customHeight="1">
      <c r="M529" s="61" t="s">
        <v>93</v>
      </c>
      <c r="N529" s="44"/>
      <c r="O529" s="44"/>
      <c r="P529" s="44"/>
      <c r="Q529" s="45"/>
      <c r="R529" s="46"/>
      <c r="S529" s="46"/>
      <c r="T529" s="46"/>
      <c r="U529" s="44" t="s">
        <v>96</v>
      </c>
      <c r="V529" s="46"/>
      <c r="W529" s="44"/>
      <c r="X529" s="44"/>
      <c r="Y529" s="44"/>
      <c r="Z529" s="44"/>
      <c r="AA529" s="44"/>
      <c r="AB529" s="42"/>
      <c r="AC529" s="47" t="s">
        <v>97</v>
      </c>
      <c r="AD529" s="48"/>
      <c r="AE529" s="43"/>
      <c r="AF529" s="43"/>
      <c r="AG529" s="43"/>
      <c r="AH529" s="43"/>
      <c r="AI529" s="55"/>
      <c r="AJ529" s="52"/>
      <c r="AT529" s="52"/>
      <c r="AU529" s="59"/>
      <c r="AV529" s="58"/>
      <c r="AW529" s="58"/>
      <c r="AX529" s="54" t="s">
        <v>69</v>
      </c>
      <c r="AY529" s="43" t="s">
        <v>70</v>
      </c>
      <c r="AZ529" s="43" t="s">
        <v>70</v>
      </c>
      <c r="BA529" s="43" t="s">
        <v>71</v>
      </c>
      <c r="BB529" s="43" t="s">
        <v>69</v>
      </c>
      <c r="BC529" s="51">
        <v>31</v>
      </c>
      <c r="BD529" s="43" t="s">
        <v>70</v>
      </c>
      <c r="BE529" s="9">
        <f t="shared" si="21"/>
        <v>520</v>
      </c>
      <c r="BF529" s="9" t="str">
        <f t="shared" si="20"/>
        <v>..</v>
      </c>
    </row>
    <row r="530" spans="13:58" ht="18" customHeight="1">
      <c r="M530" s="61" t="s">
        <v>93</v>
      </c>
      <c r="N530" s="44"/>
      <c r="O530" s="44"/>
      <c r="P530" s="44"/>
      <c r="Q530" s="45"/>
      <c r="R530" s="46"/>
      <c r="S530" s="46"/>
      <c r="T530" s="46"/>
      <c r="U530" s="44" t="s">
        <v>96</v>
      </c>
      <c r="V530" s="46"/>
      <c r="W530" s="44"/>
      <c r="X530" s="44"/>
      <c r="Y530" s="44"/>
      <c r="Z530" s="44"/>
      <c r="AA530" s="44"/>
      <c r="AB530" s="42"/>
      <c r="AC530" s="47" t="s">
        <v>97</v>
      </c>
      <c r="AD530" s="48"/>
      <c r="AE530" s="43"/>
      <c r="AF530" s="43"/>
      <c r="AG530" s="43"/>
      <c r="AH530" s="43"/>
      <c r="AI530" s="55"/>
      <c r="AJ530" s="52"/>
      <c r="AT530" s="52"/>
      <c r="AU530" s="59"/>
      <c r="AV530" s="58"/>
      <c r="AW530" s="58"/>
      <c r="AX530" s="54" t="s">
        <v>69</v>
      </c>
      <c r="AY530" s="43" t="s">
        <v>70</v>
      </c>
      <c r="AZ530" s="43" t="s">
        <v>70</v>
      </c>
      <c r="BA530" s="43" t="s">
        <v>71</v>
      </c>
      <c r="BB530" s="43" t="s">
        <v>69</v>
      </c>
      <c r="BC530" s="51">
        <v>31</v>
      </c>
      <c r="BD530" s="43" t="s">
        <v>70</v>
      </c>
      <c r="BE530" s="9">
        <f t="shared" si="21"/>
        <v>521</v>
      </c>
      <c r="BF530" s="9" t="str">
        <f t="shared" si="20"/>
        <v>..</v>
      </c>
    </row>
    <row r="531" spans="13:58" ht="18" customHeight="1">
      <c r="M531" s="61" t="s">
        <v>93</v>
      </c>
      <c r="N531" s="44"/>
      <c r="O531" s="44"/>
      <c r="P531" s="44"/>
      <c r="Q531" s="45"/>
      <c r="R531" s="46"/>
      <c r="S531" s="46"/>
      <c r="T531" s="46"/>
      <c r="U531" s="44" t="s">
        <v>96</v>
      </c>
      <c r="V531" s="46"/>
      <c r="W531" s="44"/>
      <c r="X531" s="44"/>
      <c r="Y531" s="44"/>
      <c r="Z531" s="44"/>
      <c r="AA531" s="44"/>
      <c r="AB531" s="42"/>
      <c r="AC531" s="47" t="s">
        <v>97</v>
      </c>
      <c r="AD531" s="48"/>
      <c r="AE531" s="43"/>
      <c r="AF531" s="43"/>
      <c r="AG531" s="43"/>
      <c r="AH531" s="43"/>
      <c r="AI531" s="55"/>
      <c r="AJ531" s="52"/>
      <c r="AT531" s="52"/>
      <c r="AU531" s="59"/>
      <c r="AV531" s="58"/>
      <c r="AW531" s="58"/>
      <c r="AX531" s="54" t="s">
        <v>69</v>
      </c>
      <c r="AY531" s="43" t="s">
        <v>70</v>
      </c>
      <c r="AZ531" s="43" t="s">
        <v>70</v>
      </c>
      <c r="BA531" s="43" t="s">
        <v>71</v>
      </c>
      <c r="BB531" s="43" t="s">
        <v>69</v>
      </c>
      <c r="BC531" s="51">
        <v>31</v>
      </c>
      <c r="BD531" s="43" t="s">
        <v>70</v>
      </c>
      <c r="BE531" s="9">
        <f t="shared" si="21"/>
        <v>522</v>
      </c>
      <c r="BF531" s="9" t="str">
        <f t="shared" si="20"/>
        <v>..</v>
      </c>
    </row>
    <row r="532" spans="13:58" ht="18" customHeight="1">
      <c r="M532" s="61" t="s">
        <v>93</v>
      </c>
      <c r="N532" s="44"/>
      <c r="O532" s="44"/>
      <c r="P532" s="44"/>
      <c r="Q532" s="45"/>
      <c r="R532" s="46"/>
      <c r="S532" s="46"/>
      <c r="T532" s="46"/>
      <c r="U532" s="44" t="s">
        <v>96</v>
      </c>
      <c r="V532" s="46"/>
      <c r="W532" s="44"/>
      <c r="X532" s="44"/>
      <c r="Y532" s="44"/>
      <c r="Z532" s="44"/>
      <c r="AA532" s="44"/>
      <c r="AB532" s="42"/>
      <c r="AC532" s="47" t="s">
        <v>97</v>
      </c>
      <c r="AD532" s="48"/>
      <c r="AE532" s="43"/>
      <c r="AF532" s="43"/>
      <c r="AG532" s="43"/>
      <c r="AH532" s="43"/>
      <c r="AI532" s="55"/>
      <c r="AJ532" s="52"/>
      <c r="AT532" s="52"/>
      <c r="AU532" s="59"/>
      <c r="AV532" s="58"/>
      <c r="AW532" s="58"/>
      <c r="AX532" s="54" t="s">
        <v>69</v>
      </c>
      <c r="AY532" s="43" t="s">
        <v>70</v>
      </c>
      <c r="AZ532" s="43" t="s">
        <v>70</v>
      </c>
      <c r="BA532" s="43" t="s">
        <v>71</v>
      </c>
      <c r="BB532" s="43" t="s">
        <v>69</v>
      </c>
      <c r="BC532" s="51">
        <v>31</v>
      </c>
      <c r="BD532" s="43" t="s">
        <v>70</v>
      </c>
      <c r="BE532" s="9">
        <f t="shared" si="21"/>
        <v>523</v>
      </c>
      <c r="BF532" s="9" t="str">
        <f t="shared" si="20"/>
        <v>..</v>
      </c>
    </row>
    <row r="533" spans="13:58" ht="18" customHeight="1">
      <c r="M533" s="61" t="s">
        <v>93</v>
      </c>
      <c r="N533" s="44"/>
      <c r="O533" s="44"/>
      <c r="P533" s="44"/>
      <c r="Q533" s="45"/>
      <c r="R533" s="46"/>
      <c r="S533" s="46"/>
      <c r="T533" s="46"/>
      <c r="U533" s="44" t="s">
        <v>96</v>
      </c>
      <c r="V533" s="46"/>
      <c r="W533" s="44"/>
      <c r="X533" s="44"/>
      <c r="Y533" s="44"/>
      <c r="Z533" s="44"/>
      <c r="AA533" s="44"/>
      <c r="AB533" s="42"/>
      <c r="AC533" s="47" t="s">
        <v>97</v>
      </c>
      <c r="AD533" s="48"/>
      <c r="AE533" s="43"/>
      <c r="AF533" s="43"/>
      <c r="AG533" s="43"/>
      <c r="AH533" s="43"/>
      <c r="AI533" s="55"/>
      <c r="AJ533" s="52"/>
      <c r="AT533" s="52"/>
      <c r="AU533" s="59"/>
      <c r="AV533" s="58"/>
      <c r="AW533" s="58"/>
      <c r="AX533" s="54" t="s">
        <v>69</v>
      </c>
      <c r="AY533" s="43" t="s">
        <v>70</v>
      </c>
      <c r="AZ533" s="43" t="s">
        <v>70</v>
      </c>
      <c r="BA533" s="43" t="s">
        <v>71</v>
      </c>
      <c r="BB533" s="43" t="s">
        <v>69</v>
      </c>
      <c r="BC533" s="51">
        <v>31</v>
      </c>
      <c r="BD533" s="43" t="s">
        <v>70</v>
      </c>
      <c r="BE533" s="9">
        <f t="shared" si="21"/>
        <v>524</v>
      </c>
      <c r="BF533" s="9" t="str">
        <f t="shared" si="20"/>
        <v>..</v>
      </c>
    </row>
    <row r="534" spans="13:58" ht="18" customHeight="1">
      <c r="M534" s="61" t="s">
        <v>93</v>
      </c>
      <c r="N534" s="44"/>
      <c r="O534" s="44"/>
      <c r="P534" s="44"/>
      <c r="Q534" s="45"/>
      <c r="R534" s="46"/>
      <c r="S534" s="46"/>
      <c r="T534" s="46"/>
      <c r="U534" s="44" t="s">
        <v>96</v>
      </c>
      <c r="V534" s="46"/>
      <c r="W534" s="44"/>
      <c r="X534" s="44"/>
      <c r="Y534" s="44"/>
      <c r="Z534" s="44"/>
      <c r="AA534" s="44"/>
      <c r="AB534" s="42"/>
      <c r="AC534" s="47" t="s">
        <v>97</v>
      </c>
      <c r="AD534" s="48"/>
      <c r="AE534" s="43"/>
      <c r="AF534" s="43"/>
      <c r="AG534" s="43"/>
      <c r="AH534" s="43"/>
      <c r="AI534" s="55"/>
      <c r="AJ534" s="52"/>
      <c r="AT534" s="52"/>
      <c r="AU534" s="59"/>
      <c r="AV534" s="58"/>
      <c r="AW534" s="58"/>
      <c r="AX534" s="54" t="s">
        <v>69</v>
      </c>
      <c r="AY534" s="43" t="s">
        <v>70</v>
      </c>
      <c r="AZ534" s="43" t="s">
        <v>70</v>
      </c>
      <c r="BA534" s="43" t="s">
        <v>71</v>
      </c>
      <c r="BB534" s="43" t="s">
        <v>69</v>
      </c>
      <c r="BC534" s="51">
        <v>31</v>
      </c>
      <c r="BD534" s="43" t="s">
        <v>70</v>
      </c>
      <c r="BE534" s="9">
        <f t="shared" si="21"/>
        <v>525</v>
      </c>
      <c r="BF534" s="9" t="str">
        <f t="shared" si="20"/>
        <v>..</v>
      </c>
    </row>
    <row r="535" spans="13:58" ht="18" customHeight="1">
      <c r="M535" s="61" t="s">
        <v>93</v>
      </c>
      <c r="N535" s="44"/>
      <c r="O535" s="44"/>
      <c r="P535" s="44"/>
      <c r="Q535" s="45"/>
      <c r="R535" s="46"/>
      <c r="S535" s="46"/>
      <c r="T535" s="46"/>
      <c r="U535" s="44" t="s">
        <v>96</v>
      </c>
      <c r="V535" s="46"/>
      <c r="W535" s="44"/>
      <c r="X535" s="44"/>
      <c r="Y535" s="44"/>
      <c r="Z535" s="44"/>
      <c r="AA535" s="44"/>
      <c r="AB535" s="42"/>
      <c r="AC535" s="47" t="s">
        <v>97</v>
      </c>
      <c r="AD535" s="48"/>
      <c r="AE535" s="43"/>
      <c r="AF535" s="43"/>
      <c r="AG535" s="43"/>
      <c r="AH535" s="43"/>
      <c r="AI535" s="55"/>
      <c r="AJ535" s="52"/>
      <c r="AT535" s="52"/>
      <c r="AU535" s="59"/>
      <c r="AV535" s="58"/>
      <c r="AW535" s="58"/>
      <c r="AX535" s="54" t="s">
        <v>69</v>
      </c>
      <c r="AY535" s="43" t="s">
        <v>70</v>
      </c>
      <c r="AZ535" s="43" t="s">
        <v>70</v>
      </c>
      <c r="BA535" s="43" t="s">
        <v>71</v>
      </c>
      <c r="BB535" s="43" t="s">
        <v>69</v>
      </c>
      <c r="BC535" s="51">
        <v>31</v>
      </c>
      <c r="BD535" s="43" t="s">
        <v>70</v>
      </c>
      <c r="BE535" s="9">
        <f t="shared" si="21"/>
        <v>526</v>
      </c>
      <c r="BF535" s="9" t="str">
        <f t="shared" si="20"/>
        <v>..</v>
      </c>
    </row>
    <row r="536" spans="13:58" ht="18" customHeight="1">
      <c r="M536" s="61" t="s">
        <v>93</v>
      </c>
      <c r="N536" s="44"/>
      <c r="O536" s="44"/>
      <c r="P536" s="44"/>
      <c r="Q536" s="45"/>
      <c r="R536" s="46"/>
      <c r="S536" s="46"/>
      <c r="T536" s="46"/>
      <c r="U536" s="44" t="s">
        <v>96</v>
      </c>
      <c r="V536" s="46"/>
      <c r="W536" s="44"/>
      <c r="X536" s="44"/>
      <c r="Y536" s="44"/>
      <c r="Z536" s="44"/>
      <c r="AA536" s="44"/>
      <c r="AB536" s="42"/>
      <c r="AC536" s="47" t="s">
        <v>97</v>
      </c>
      <c r="AD536" s="48"/>
      <c r="AE536" s="43"/>
      <c r="AF536" s="43"/>
      <c r="AG536" s="43"/>
      <c r="AH536" s="43"/>
      <c r="AI536" s="55"/>
      <c r="AJ536" s="52"/>
      <c r="AT536" s="52"/>
      <c r="AU536" s="59"/>
      <c r="AV536" s="58"/>
      <c r="AW536" s="58"/>
      <c r="AX536" s="54" t="s">
        <v>69</v>
      </c>
      <c r="AY536" s="43" t="s">
        <v>70</v>
      </c>
      <c r="AZ536" s="43" t="s">
        <v>70</v>
      </c>
      <c r="BA536" s="43" t="s">
        <v>71</v>
      </c>
      <c r="BB536" s="43" t="s">
        <v>69</v>
      </c>
      <c r="BC536" s="51">
        <v>31</v>
      </c>
      <c r="BD536" s="43" t="s">
        <v>70</v>
      </c>
      <c r="BE536" s="9">
        <f t="shared" si="21"/>
        <v>527</v>
      </c>
      <c r="BF536" s="9" t="str">
        <f t="shared" si="20"/>
        <v>..</v>
      </c>
    </row>
    <row r="537" spans="13:58" ht="18" customHeight="1">
      <c r="M537" s="61" t="s">
        <v>93</v>
      </c>
      <c r="N537" s="44"/>
      <c r="O537" s="44"/>
      <c r="P537" s="44"/>
      <c r="Q537" s="45"/>
      <c r="R537" s="46"/>
      <c r="S537" s="46"/>
      <c r="T537" s="46"/>
      <c r="U537" s="44" t="s">
        <v>96</v>
      </c>
      <c r="V537" s="46"/>
      <c r="W537" s="44"/>
      <c r="X537" s="44"/>
      <c r="Y537" s="44"/>
      <c r="Z537" s="44"/>
      <c r="AA537" s="44"/>
      <c r="AB537" s="42"/>
      <c r="AC537" s="47" t="s">
        <v>97</v>
      </c>
      <c r="AD537" s="48"/>
      <c r="AE537" s="43"/>
      <c r="AF537" s="43"/>
      <c r="AG537" s="43"/>
      <c r="AH537" s="43"/>
      <c r="AI537" s="55"/>
      <c r="AJ537" s="52"/>
      <c r="AT537" s="52"/>
      <c r="AU537" s="59"/>
      <c r="AV537" s="58"/>
      <c r="AW537" s="58"/>
      <c r="AX537" s="54" t="s">
        <v>69</v>
      </c>
      <c r="AY537" s="43" t="s">
        <v>70</v>
      </c>
      <c r="AZ537" s="43" t="s">
        <v>70</v>
      </c>
      <c r="BA537" s="43" t="s">
        <v>71</v>
      </c>
      <c r="BB537" s="43" t="s">
        <v>69</v>
      </c>
      <c r="BC537" s="51">
        <v>31</v>
      </c>
      <c r="BD537" s="43" t="s">
        <v>70</v>
      </c>
      <c r="BE537" s="9">
        <f t="shared" si="21"/>
        <v>528</v>
      </c>
      <c r="BF537" s="9" t="str">
        <f t="shared" si="20"/>
        <v>..</v>
      </c>
    </row>
    <row r="538" spans="13:58" ht="18" customHeight="1">
      <c r="M538" s="61" t="s">
        <v>93</v>
      </c>
      <c r="N538" s="44"/>
      <c r="O538" s="44"/>
      <c r="P538" s="44"/>
      <c r="Q538" s="45"/>
      <c r="R538" s="46"/>
      <c r="S538" s="46"/>
      <c r="T538" s="46"/>
      <c r="U538" s="44" t="s">
        <v>96</v>
      </c>
      <c r="V538" s="46"/>
      <c r="W538" s="44"/>
      <c r="X538" s="44"/>
      <c r="Y538" s="44"/>
      <c r="Z538" s="44"/>
      <c r="AA538" s="44"/>
      <c r="AB538" s="42"/>
      <c r="AC538" s="47" t="s">
        <v>97</v>
      </c>
      <c r="AD538" s="48"/>
      <c r="AE538" s="43"/>
      <c r="AF538" s="43"/>
      <c r="AG538" s="43"/>
      <c r="AH538" s="43"/>
      <c r="AI538" s="55"/>
      <c r="AJ538" s="52"/>
      <c r="AT538" s="52"/>
      <c r="AU538" s="59"/>
      <c r="AV538" s="58"/>
      <c r="AW538" s="58"/>
      <c r="AX538" s="54" t="s">
        <v>69</v>
      </c>
      <c r="AY538" s="43" t="s">
        <v>70</v>
      </c>
      <c r="AZ538" s="43" t="s">
        <v>70</v>
      </c>
      <c r="BA538" s="43" t="s">
        <v>71</v>
      </c>
      <c r="BB538" s="43" t="s">
        <v>69</v>
      </c>
      <c r="BC538" s="51">
        <v>31</v>
      </c>
      <c r="BD538" s="43" t="s">
        <v>70</v>
      </c>
      <c r="BE538" s="9">
        <f t="shared" si="21"/>
        <v>529</v>
      </c>
      <c r="BF538" s="9" t="str">
        <f t="shared" si="20"/>
        <v>..</v>
      </c>
    </row>
    <row r="539" spans="13:58" ht="18" customHeight="1">
      <c r="M539" s="61" t="s">
        <v>93</v>
      </c>
      <c r="N539" s="44"/>
      <c r="O539" s="44"/>
      <c r="P539" s="44"/>
      <c r="Q539" s="45"/>
      <c r="R539" s="46"/>
      <c r="S539" s="46"/>
      <c r="T539" s="46"/>
      <c r="U539" s="44" t="s">
        <v>96</v>
      </c>
      <c r="V539" s="46"/>
      <c r="W539" s="44"/>
      <c r="X539" s="44"/>
      <c r="Y539" s="44"/>
      <c r="Z539" s="44"/>
      <c r="AA539" s="44"/>
      <c r="AB539" s="42"/>
      <c r="AC539" s="47" t="s">
        <v>97</v>
      </c>
      <c r="AD539" s="48"/>
      <c r="AE539" s="43"/>
      <c r="AF539" s="43"/>
      <c r="AG539" s="43"/>
      <c r="AH539" s="43"/>
      <c r="AI539" s="55"/>
      <c r="AJ539" s="52"/>
      <c r="AT539" s="52"/>
      <c r="AU539" s="59"/>
      <c r="AV539" s="58"/>
      <c r="AW539" s="58"/>
      <c r="AX539" s="54" t="s">
        <v>69</v>
      </c>
      <c r="AY539" s="43" t="s">
        <v>70</v>
      </c>
      <c r="AZ539" s="43" t="s">
        <v>70</v>
      </c>
      <c r="BA539" s="43" t="s">
        <v>71</v>
      </c>
      <c r="BB539" s="43" t="s">
        <v>69</v>
      </c>
      <c r="BC539" s="51">
        <v>31</v>
      </c>
      <c r="BD539" s="43" t="s">
        <v>70</v>
      </c>
      <c r="BE539" s="9">
        <f t="shared" si="21"/>
        <v>530</v>
      </c>
      <c r="BF539" s="9" t="str">
        <f t="shared" si="20"/>
        <v>..</v>
      </c>
    </row>
    <row r="540" spans="13:58" ht="18" customHeight="1">
      <c r="M540" s="61" t="s">
        <v>93</v>
      </c>
      <c r="N540" s="44"/>
      <c r="O540" s="44"/>
      <c r="P540" s="44"/>
      <c r="Q540" s="45"/>
      <c r="R540" s="46"/>
      <c r="S540" s="46"/>
      <c r="T540" s="46"/>
      <c r="U540" s="44" t="s">
        <v>96</v>
      </c>
      <c r="V540" s="46"/>
      <c r="W540" s="44"/>
      <c r="X540" s="44"/>
      <c r="Y540" s="44"/>
      <c r="Z540" s="44"/>
      <c r="AA540" s="44"/>
      <c r="AB540" s="42"/>
      <c r="AC540" s="47" t="s">
        <v>97</v>
      </c>
      <c r="AD540" s="48"/>
      <c r="AE540" s="43"/>
      <c r="AF540" s="43"/>
      <c r="AG540" s="43"/>
      <c r="AH540" s="43"/>
      <c r="AI540" s="55"/>
      <c r="AJ540" s="52"/>
      <c r="AT540" s="52"/>
      <c r="AU540" s="59"/>
      <c r="AV540" s="58"/>
      <c r="AW540" s="58"/>
      <c r="AX540" s="54" t="s">
        <v>69</v>
      </c>
      <c r="AY540" s="43" t="s">
        <v>70</v>
      </c>
      <c r="AZ540" s="43" t="s">
        <v>70</v>
      </c>
      <c r="BA540" s="43" t="s">
        <v>71</v>
      </c>
      <c r="BB540" s="43" t="s">
        <v>69</v>
      </c>
      <c r="BC540" s="51">
        <v>31</v>
      </c>
      <c r="BD540" s="43" t="s">
        <v>70</v>
      </c>
      <c r="BE540" s="9">
        <f t="shared" si="21"/>
        <v>531</v>
      </c>
      <c r="BF540" s="9" t="str">
        <f t="shared" si="20"/>
        <v>..</v>
      </c>
    </row>
    <row r="541" spans="13:58" ht="18" customHeight="1">
      <c r="M541" s="61" t="s">
        <v>93</v>
      </c>
      <c r="N541" s="44"/>
      <c r="O541" s="44"/>
      <c r="P541" s="44"/>
      <c r="Q541" s="45"/>
      <c r="R541" s="46"/>
      <c r="S541" s="46"/>
      <c r="T541" s="46"/>
      <c r="U541" s="44" t="s">
        <v>96</v>
      </c>
      <c r="V541" s="46"/>
      <c r="W541" s="44"/>
      <c r="X541" s="44"/>
      <c r="Y541" s="44"/>
      <c r="Z541" s="44"/>
      <c r="AA541" s="44"/>
      <c r="AB541" s="42"/>
      <c r="AC541" s="47" t="s">
        <v>97</v>
      </c>
      <c r="AD541" s="48"/>
      <c r="AE541" s="43"/>
      <c r="AF541" s="43"/>
      <c r="AG541" s="43"/>
      <c r="AH541" s="43"/>
      <c r="AI541" s="55"/>
      <c r="AJ541" s="52"/>
      <c r="AT541" s="52"/>
      <c r="AU541" s="59"/>
      <c r="AV541" s="58"/>
      <c r="AW541" s="58"/>
      <c r="AX541" s="54" t="s">
        <v>69</v>
      </c>
      <c r="AY541" s="43" t="s">
        <v>70</v>
      </c>
      <c r="AZ541" s="43" t="s">
        <v>70</v>
      </c>
      <c r="BA541" s="43" t="s">
        <v>71</v>
      </c>
      <c r="BB541" s="43" t="s">
        <v>69</v>
      </c>
      <c r="BC541" s="51">
        <v>31</v>
      </c>
      <c r="BD541" s="43" t="s">
        <v>70</v>
      </c>
      <c r="BE541" s="9">
        <f t="shared" si="21"/>
        <v>532</v>
      </c>
      <c r="BF541" s="9" t="str">
        <f t="shared" si="20"/>
        <v>..</v>
      </c>
    </row>
    <row r="542" spans="13:58" ht="18" customHeight="1">
      <c r="M542" s="61" t="s">
        <v>93</v>
      </c>
      <c r="N542" s="44"/>
      <c r="O542" s="44"/>
      <c r="P542" s="44"/>
      <c r="Q542" s="45"/>
      <c r="R542" s="46"/>
      <c r="S542" s="46"/>
      <c r="T542" s="46"/>
      <c r="U542" s="44" t="s">
        <v>96</v>
      </c>
      <c r="V542" s="46"/>
      <c r="W542" s="44"/>
      <c r="X542" s="44"/>
      <c r="Y542" s="44"/>
      <c r="Z542" s="44"/>
      <c r="AA542" s="44"/>
      <c r="AB542" s="42"/>
      <c r="AC542" s="47" t="s">
        <v>97</v>
      </c>
      <c r="AD542" s="48"/>
      <c r="AE542" s="43"/>
      <c r="AF542" s="43"/>
      <c r="AG542" s="43"/>
      <c r="AH542" s="43"/>
      <c r="AI542" s="55"/>
      <c r="AJ542" s="52"/>
      <c r="AT542" s="52"/>
      <c r="AU542" s="59"/>
      <c r="AV542" s="58"/>
      <c r="AW542" s="58"/>
      <c r="AX542" s="54" t="s">
        <v>69</v>
      </c>
      <c r="AY542" s="43" t="s">
        <v>70</v>
      </c>
      <c r="AZ542" s="43" t="s">
        <v>70</v>
      </c>
      <c r="BA542" s="43" t="s">
        <v>71</v>
      </c>
      <c r="BB542" s="43" t="s">
        <v>69</v>
      </c>
      <c r="BC542" s="51">
        <v>31</v>
      </c>
      <c r="BD542" s="43" t="s">
        <v>70</v>
      </c>
      <c r="BE542" s="9">
        <f t="shared" si="21"/>
        <v>533</v>
      </c>
      <c r="BF542" s="9" t="str">
        <f t="shared" si="20"/>
        <v>..</v>
      </c>
    </row>
    <row r="543" spans="13:58" ht="18" customHeight="1">
      <c r="M543" s="61" t="s">
        <v>93</v>
      </c>
      <c r="N543" s="44"/>
      <c r="O543" s="44"/>
      <c r="P543" s="44"/>
      <c r="Q543" s="45"/>
      <c r="R543" s="46"/>
      <c r="S543" s="46"/>
      <c r="T543" s="46"/>
      <c r="U543" s="44" t="s">
        <v>96</v>
      </c>
      <c r="V543" s="46"/>
      <c r="W543" s="44"/>
      <c r="X543" s="44"/>
      <c r="Y543" s="44"/>
      <c r="Z543" s="44"/>
      <c r="AA543" s="44"/>
      <c r="AB543" s="42"/>
      <c r="AC543" s="47" t="s">
        <v>97</v>
      </c>
      <c r="AD543" s="48"/>
      <c r="AE543" s="43"/>
      <c r="AF543" s="43"/>
      <c r="AG543" s="43"/>
      <c r="AH543" s="43"/>
      <c r="AI543" s="55"/>
      <c r="AJ543" s="52"/>
      <c r="AT543" s="52"/>
      <c r="AU543" s="59"/>
      <c r="AV543" s="58"/>
      <c r="AW543" s="58"/>
      <c r="AX543" s="54" t="s">
        <v>69</v>
      </c>
      <c r="AY543" s="43" t="s">
        <v>70</v>
      </c>
      <c r="AZ543" s="43" t="s">
        <v>70</v>
      </c>
      <c r="BA543" s="43" t="s">
        <v>71</v>
      </c>
      <c r="BB543" s="43" t="s">
        <v>69</v>
      </c>
      <c r="BC543" s="51">
        <v>31</v>
      </c>
      <c r="BD543" s="43" t="s">
        <v>70</v>
      </c>
      <c r="BE543" s="9">
        <f t="shared" si="21"/>
        <v>534</v>
      </c>
      <c r="BF543" s="9" t="str">
        <f t="shared" si="20"/>
        <v>..</v>
      </c>
    </row>
    <row r="544" spans="13:58" ht="18" customHeight="1">
      <c r="M544" s="61" t="s">
        <v>93</v>
      </c>
      <c r="N544" s="44"/>
      <c r="O544" s="44"/>
      <c r="P544" s="44"/>
      <c r="Q544" s="45"/>
      <c r="R544" s="46"/>
      <c r="S544" s="46"/>
      <c r="T544" s="46"/>
      <c r="U544" s="44" t="s">
        <v>96</v>
      </c>
      <c r="V544" s="46"/>
      <c r="W544" s="44"/>
      <c r="X544" s="44"/>
      <c r="Y544" s="44"/>
      <c r="Z544" s="44"/>
      <c r="AA544" s="44"/>
      <c r="AB544" s="42"/>
      <c r="AC544" s="47" t="s">
        <v>97</v>
      </c>
      <c r="AD544" s="48"/>
      <c r="AE544" s="43"/>
      <c r="AF544" s="43"/>
      <c r="AG544" s="43"/>
      <c r="AH544" s="43"/>
      <c r="AI544" s="55"/>
      <c r="AJ544" s="52"/>
      <c r="AT544" s="52"/>
      <c r="AU544" s="59"/>
      <c r="AV544" s="58"/>
      <c r="AW544" s="58"/>
      <c r="AX544" s="54" t="s">
        <v>69</v>
      </c>
      <c r="AY544" s="43" t="s">
        <v>70</v>
      </c>
      <c r="AZ544" s="43" t="s">
        <v>70</v>
      </c>
      <c r="BA544" s="43" t="s">
        <v>71</v>
      </c>
      <c r="BB544" s="43" t="s">
        <v>69</v>
      </c>
      <c r="BC544" s="51">
        <v>31</v>
      </c>
      <c r="BD544" s="43" t="s">
        <v>70</v>
      </c>
      <c r="BE544" s="9">
        <f t="shared" si="21"/>
        <v>535</v>
      </c>
      <c r="BF544" s="9" t="str">
        <f t="shared" si="20"/>
        <v>..</v>
      </c>
    </row>
    <row r="545" spans="13:58" ht="18" customHeight="1">
      <c r="M545" s="61" t="s">
        <v>93</v>
      </c>
      <c r="N545" s="44"/>
      <c r="O545" s="44"/>
      <c r="P545" s="44"/>
      <c r="Q545" s="45"/>
      <c r="R545" s="46"/>
      <c r="S545" s="46"/>
      <c r="T545" s="46"/>
      <c r="U545" s="44" t="s">
        <v>96</v>
      </c>
      <c r="V545" s="46"/>
      <c r="W545" s="44"/>
      <c r="X545" s="44"/>
      <c r="Y545" s="44"/>
      <c r="Z545" s="44"/>
      <c r="AA545" s="44"/>
      <c r="AB545" s="42"/>
      <c r="AC545" s="47" t="s">
        <v>97</v>
      </c>
      <c r="AD545" s="48"/>
      <c r="AE545" s="43"/>
      <c r="AF545" s="43"/>
      <c r="AG545" s="43"/>
      <c r="AH545" s="43"/>
      <c r="AI545" s="55"/>
      <c r="AJ545" s="52"/>
      <c r="AT545" s="52"/>
      <c r="AU545" s="59"/>
      <c r="AV545" s="58"/>
      <c r="AW545" s="58"/>
      <c r="AX545" s="54" t="s">
        <v>69</v>
      </c>
      <c r="AY545" s="43" t="s">
        <v>70</v>
      </c>
      <c r="AZ545" s="43" t="s">
        <v>70</v>
      </c>
      <c r="BA545" s="43" t="s">
        <v>71</v>
      </c>
      <c r="BB545" s="43" t="s">
        <v>69</v>
      </c>
      <c r="BC545" s="51">
        <v>31</v>
      </c>
      <c r="BD545" s="43" t="s">
        <v>70</v>
      </c>
      <c r="BE545" s="9">
        <f t="shared" si="21"/>
        <v>536</v>
      </c>
      <c r="BF545" s="9" t="str">
        <f t="shared" si="20"/>
        <v>..</v>
      </c>
    </row>
    <row r="546" spans="13:58" ht="18" customHeight="1">
      <c r="M546" s="61" t="s">
        <v>93</v>
      </c>
      <c r="N546" s="44"/>
      <c r="O546" s="44"/>
      <c r="P546" s="44"/>
      <c r="Q546" s="45"/>
      <c r="R546" s="46"/>
      <c r="S546" s="46"/>
      <c r="T546" s="46"/>
      <c r="U546" s="44" t="s">
        <v>96</v>
      </c>
      <c r="V546" s="46"/>
      <c r="W546" s="44"/>
      <c r="X546" s="44"/>
      <c r="Y546" s="44"/>
      <c r="Z546" s="44"/>
      <c r="AA546" s="44"/>
      <c r="AB546" s="42"/>
      <c r="AC546" s="47" t="s">
        <v>97</v>
      </c>
      <c r="AD546" s="48"/>
      <c r="AE546" s="43"/>
      <c r="AF546" s="43"/>
      <c r="AG546" s="43"/>
      <c r="AH546" s="43"/>
      <c r="AI546" s="55"/>
      <c r="AJ546" s="52"/>
      <c r="AT546" s="52"/>
      <c r="AU546" s="59"/>
      <c r="AV546" s="58"/>
      <c r="AW546" s="58"/>
      <c r="AX546" s="54" t="s">
        <v>69</v>
      </c>
      <c r="AY546" s="43" t="s">
        <v>70</v>
      </c>
      <c r="AZ546" s="43" t="s">
        <v>70</v>
      </c>
      <c r="BA546" s="43" t="s">
        <v>71</v>
      </c>
      <c r="BB546" s="43" t="s">
        <v>69</v>
      </c>
      <c r="BC546" s="51">
        <v>31</v>
      </c>
      <c r="BD546" s="43" t="s">
        <v>70</v>
      </c>
      <c r="BE546" s="9">
        <f t="shared" si="21"/>
        <v>537</v>
      </c>
      <c r="BF546" s="9" t="str">
        <f t="shared" si="20"/>
        <v>..</v>
      </c>
    </row>
    <row r="547" spans="13:58" ht="18" customHeight="1">
      <c r="M547" s="61" t="s">
        <v>93</v>
      </c>
      <c r="N547" s="44"/>
      <c r="O547" s="44"/>
      <c r="P547" s="44"/>
      <c r="Q547" s="45"/>
      <c r="R547" s="46"/>
      <c r="S547" s="46"/>
      <c r="T547" s="46"/>
      <c r="U547" s="44" t="s">
        <v>96</v>
      </c>
      <c r="V547" s="46"/>
      <c r="W547" s="44"/>
      <c r="X547" s="44"/>
      <c r="Y547" s="44"/>
      <c r="Z547" s="44"/>
      <c r="AA547" s="44"/>
      <c r="AB547" s="42"/>
      <c r="AC547" s="47" t="s">
        <v>97</v>
      </c>
      <c r="AD547" s="48"/>
      <c r="AE547" s="43"/>
      <c r="AF547" s="43"/>
      <c r="AG547" s="43"/>
      <c r="AH547" s="43"/>
      <c r="AI547" s="55"/>
      <c r="AJ547" s="52"/>
      <c r="AT547" s="52"/>
      <c r="AU547" s="59"/>
      <c r="AV547" s="58"/>
      <c r="AW547" s="58"/>
      <c r="AX547" s="54" t="s">
        <v>69</v>
      </c>
      <c r="AY547" s="43" t="s">
        <v>70</v>
      </c>
      <c r="AZ547" s="43" t="s">
        <v>70</v>
      </c>
      <c r="BA547" s="43" t="s">
        <v>71</v>
      </c>
      <c r="BB547" s="43" t="s">
        <v>69</v>
      </c>
      <c r="BC547" s="51">
        <v>31</v>
      </c>
      <c r="BD547" s="43" t="s">
        <v>70</v>
      </c>
      <c r="BE547" s="9">
        <f t="shared" si="21"/>
        <v>538</v>
      </c>
      <c r="BF547" s="9" t="str">
        <f t="shared" si="20"/>
        <v>..</v>
      </c>
    </row>
    <row r="548" spans="13:58" ht="18" customHeight="1">
      <c r="M548" s="61" t="s">
        <v>93</v>
      </c>
      <c r="N548" s="44"/>
      <c r="O548" s="44"/>
      <c r="P548" s="44"/>
      <c r="Q548" s="45"/>
      <c r="R548" s="46"/>
      <c r="S548" s="46"/>
      <c r="T548" s="46"/>
      <c r="U548" s="44" t="s">
        <v>96</v>
      </c>
      <c r="V548" s="46"/>
      <c r="W548" s="44"/>
      <c r="X548" s="44"/>
      <c r="Y548" s="44"/>
      <c r="Z548" s="44"/>
      <c r="AA548" s="44"/>
      <c r="AB548" s="42"/>
      <c r="AC548" s="47" t="s">
        <v>97</v>
      </c>
      <c r="AD548" s="48"/>
      <c r="AE548" s="43"/>
      <c r="AF548" s="43"/>
      <c r="AG548" s="43"/>
      <c r="AH548" s="43"/>
      <c r="AI548" s="55"/>
      <c r="AJ548" s="52"/>
      <c r="AT548" s="52"/>
      <c r="AU548" s="59"/>
      <c r="AV548" s="58"/>
      <c r="AW548" s="58"/>
      <c r="AX548" s="54" t="s">
        <v>69</v>
      </c>
      <c r="AY548" s="43" t="s">
        <v>70</v>
      </c>
      <c r="AZ548" s="43" t="s">
        <v>70</v>
      </c>
      <c r="BA548" s="43" t="s">
        <v>71</v>
      </c>
      <c r="BB548" s="43" t="s">
        <v>69</v>
      </c>
      <c r="BC548" s="51">
        <v>31</v>
      </c>
      <c r="BD548" s="43" t="s">
        <v>70</v>
      </c>
      <c r="BE548" s="9">
        <f t="shared" si="21"/>
        <v>539</v>
      </c>
      <c r="BF548" s="9" t="str">
        <f t="shared" si="20"/>
        <v>..</v>
      </c>
    </row>
    <row r="549" spans="13:58" ht="18" customHeight="1">
      <c r="M549" s="61" t="s">
        <v>93</v>
      </c>
      <c r="N549" s="44"/>
      <c r="O549" s="44"/>
      <c r="P549" s="44"/>
      <c r="Q549" s="45"/>
      <c r="R549" s="46"/>
      <c r="S549" s="46"/>
      <c r="T549" s="46"/>
      <c r="U549" s="44" t="s">
        <v>96</v>
      </c>
      <c r="V549" s="46"/>
      <c r="W549" s="44"/>
      <c r="X549" s="44"/>
      <c r="Y549" s="44"/>
      <c r="Z549" s="44"/>
      <c r="AA549" s="44"/>
      <c r="AB549" s="42"/>
      <c r="AC549" s="47" t="s">
        <v>97</v>
      </c>
      <c r="AD549" s="48"/>
      <c r="AE549" s="43"/>
      <c r="AF549" s="43"/>
      <c r="AG549" s="43"/>
      <c r="AH549" s="43"/>
      <c r="AI549" s="55"/>
      <c r="AJ549" s="52"/>
      <c r="AT549" s="52"/>
      <c r="AU549" s="59"/>
      <c r="AV549" s="58"/>
      <c r="AW549" s="58"/>
      <c r="AX549" s="54" t="s">
        <v>69</v>
      </c>
      <c r="AY549" s="43" t="s">
        <v>70</v>
      </c>
      <c r="AZ549" s="43" t="s">
        <v>70</v>
      </c>
      <c r="BA549" s="43" t="s">
        <v>71</v>
      </c>
      <c r="BB549" s="43" t="s">
        <v>69</v>
      </c>
      <c r="BC549" s="51">
        <v>31</v>
      </c>
      <c r="BD549" s="43" t="s">
        <v>70</v>
      </c>
      <c r="BE549" s="9">
        <f t="shared" si="21"/>
        <v>540</v>
      </c>
      <c r="BF549" s="9" t="str">
        <f t="shared" si="20"/>
        <v>..</v>
      </c>
    </row>
    <row r="550" spans="13:58" ht="18" customHeight="1">
      <c r="M550" s="61" t="s">
        <v>93</v>
      </c>
      <c r="N550" s="44"/>
      <c r="O550" s="44"/>
      <c r="P550" s="44"/>
      <c r="Q550" s="45"/>
      <c r="R550" s="46"/>
      <c r="S550" s="46"/>
      <c r="T550" s="46"/>
      <c r="U550" s="44" t="s">
        <v>96</v>
      </c>
      <c r="V550" s="46"/>
      <c r="W550" s="44"/>
      <c r="X550" s="44"/>
      <c r="Y550" s="44"/>
      <c r="Z550" s="44"/>
      <c r="AA550" s="44"/>
      <c r="AB550" s="42"/>
      <c r="AC550" s="47" t="s">
        <v>97</v>
      </c>
      <c r="AD550" s="48"/>
      <c r="AE550" s="43"/>
      <c r="AF550" s="43"/>
      <c r="AG550" s="43"/>
      <c r="AH550" s="43"/>
      <c r="AI550" s="55"/>
      <c r="AJ550" s="52"/>
      <c r="AT550" s="52"/>
      <c r="AU550" s="59"/>
      <c r="AV550" s="58"/>
      <c r="AW550" s="58"/>
      <c r="AX550" s="54" t="s">
        <v>69</v>
      </c>
      <c r="AY550" s="43" t="s">
        <v>70</v>
      </c>
      <c r="AZ550" s="43" t="s">
        <v>70</v>
      </c>
      <c r="BA550" s="43" t="s">
        <v>71</v>
      </c>
      <c r="BB550" s="43" t="s">
        <v>69</v>
      </c>
      <c r="BC550" s="51">
        <v>31</v>
      </c>
      <c r="BD550" s="43" t="s">
        <v>70</v>
      </c>
      <c r="BE550" s="9">
        <f t="shared" si="21"/>
        <v>541</v>
      </c>
      <c r="BF550" s="9" t="str">
        <f t="shared" si="20"/>
        <v>..</v>
      </c>
    </row>
    <row r="551" spans="13:58" ht="18" customHeight="1">
      <c r="M551" s="61" t="s">
        <v>93</v>
      </c>
      <c r="N551" s="44"/>
      <c r="O551" s="44"/>
      <c r="P551" s="44"/>
      <c r="Q551" s="45"/>
      <c r="R551" s="46"/>
      <c r="S551" s="46"/>
      <c r="T551" s="46"/>
      <c r="U551" s="44" t="s">
        <v>96</v>
      </c>
      <c r="V551" s="46"/>
      <c r="W551" s="44"/>
      <c r="X551" s="44"/>
      <c r="Y551" s="44"/>
      <c r="Z551" s="44"/>
      <c r="AA551" s="44"/>
      <c r="AB551" s="42"/>
      <c r="AC551" s="47" t="s">
        <v>97</v>
      </c>
      <c r="AD551" s="48"/>
      <c r="AE551" s="43"/>
      <c r="AF551" s="43"/>
      <c r="AG551" s="43"/>
      <c r="AH551" s="43"/>
      <c r="AI551" s="55"/>
      <c r="AJ551" s="52"/>
      <c r="AT551" s="52"/>
      <c r="AU551" s="59"/>
      <c r="AV551" s="58"/>
      <c r="AW551" s="58"/>
      <c r="AX551" s="54" t="s">
        <v>69</v>
      </c>
      <c r="AY551" s="43" t="s">
        <v>70</v>
      </c>
      <c r="AZ551" s="43" t="s">
        <v>70</v>
      </c>
      <c r="BA551" s="43" t="s">
        <v>71</v>
      </c>
      <c r="BB551" s="43" t="s">
        <v>69</v>
      </c>
      <c r="BC551" s="51">
        <v>31</v>
      </c>
      <c r="BD551" s="43" t="s">
        <v>70</v>
      </c>
      <c r="BE551" s="9">
        <f t="shared" si="21"/>
        <v>542</v>
      </c>
      <c r="BF551" s="9" t="str">
        <f t="shared" si="20"/>
        <v>..</v>
      </c>
    </row>
    <row r="552" spans="13:58" ht="18" customHeight="1">
      <c r="M552" s="61" t="s">
        <v>93</v>
      </c>
      <c r="N552" s="44"/>
      <c r="O552" s="44"/>
      <c r="P552" s="44"/>
      <c r="Q552" s="45"/>
      <c r="R552" s="46"/>
      <c r="S552" s="46"/>
      <c r="T552" s="46"/>
      <c r="U552" s="44" t="s">
        <v>96</v>
      </c>
      <c r="V552" s="46"/>
      <c r="W552" s="44"/>
      <c r="X552" s="44"/>
      <c r="Y552" s="44"/>
      <c r="Z552" s="44"/>
      <c r="AA552" s="44"/>
      <c r="AB552" s="42"/>
      <c r="AC552" s="47" t="s">
        <v>97</v>
      </c>
      <c r="AD552" s="48"/>
      <c r="AE552" s="43"/>
      <c r="AF552" s="43"/>
      <c r="AG552" s="43"/>
      <c r="AH552" s="43"/>
      <c r="AI552" s="55"/>
      <c r="AJ552" s="52"/>
      <c r="AT552" s="52"/>
      <c r="AU552" s="59"/>
      <c r="AV552" s="58"/>
      <c r="AW552" s="58"/>
      <c r="AX552" s="54" t="s">
        <v>69</v>
      </c>
      <c r="AY552" s="43" t="s">
        <v>70</v>
      </c>
      <c r="AZ552" s="43" t="s">
        <v>70</v>
      </c>
      <c r="BA552" s="43" t="s">
        <v>71</v>
      </c>
      <c r="BB552" s="43" t="s">
        <v>69</v>
      </c>
      <c r="BC552" s="51">
        <v>31</v>
      </c>
      <c r="BD552" s="43" t="s">
        <v>70</v>
      </c>
      <c r="BE552" s="9">
        <f t="shared" si="21"/>
        <v>543</v>
      </c>
      <c r="BF552" s="9" t="str">
        <f t="shared" si="20"/>
        <v>..</v>
      </c>
    </row>
    <row r="553" spans="13:58" ht="18" customHeight="1">
      <c r="M553" s="61" t="s">
        <v>93</v>
      </c>
      <c r="N553" s="44"/>
      <c r="O553" s="44"/>
      <c r="P553" s="44"/>
      <c r="Q553" s="45"/>
      <c r="R553" s="46"/>
      <c r="S553" s="46"/>
      <c r="T553" s="46"/>
      <c r="U553" s="44" t="s">
        <v>96</v>
      </c>
      <c r="V553" s="46"/>
      <c r="W553" s="44"/>
      <c r="X553" s="44"/>
      <c r="Y553" s="44"/>
      <c r="Z553" s="44"/>
      <c r="AA553" s="44"/>
      <c r="AB553" s="42"/>
      <c r="AC553" s="47" t="s">
        <v>97</v>
      </c>
      <c r="AD553" s="48"/>
      <c r="AE553" s="43"/>
      <c r="AF553" s="43"/>
      <c r="AG553" s="43"/>
      <c r="AH553" s="43"/>
      <c r="AI553" s="55"/>
      <c r="AJ553" s="52"/>
      <c r="AT553" s="52"/>
      <c r="AU553" s="59"/>
      <c r="AV553" s="58"/>
      <c r="AW553" s="58"/>
      <c r="AX553" s="54" t="s">
        <v>69</v>
      </c>
      <c r="AY553" s="43" t="s">
        <v>70</v>
      </c>
      <c r="AZ553" s="43" t="s">
        <v>70</v>
      </c>
      <c r="BA553" s="43" t="s">
        <v>71</v>
      </c>
      <c r="BB553" s="43" t="s">
        <v>69</v>
      </c>
      <c r="BC553" s="51">
        <v>31</v>
      </c>
      <c r="BD553" s="43" t="s">
        <v>70</v>
      </c>
      <c r="BE553" s="9">
        <f t="shared" si="21"/>
        <v>544</v>
      </c>
      <c r="BF553" s="9" t="str">
        <f t="shared" si="20"/>
        <v>..</v>
      </c>
    </row>
    <row r="554" spans="13:58" ht="18" customHeight="1">
      <c r="M554" s="61" t="s">
        <v>93</v>
      </c>
      <c r="N554" s="44"/>
      <c r="O554" s="44"/>
      <c r="P554" s="44"/>
      <c r="Q554" s="45"/>
      <c r="R554" s="46"/>
      <c r="S554" s="46"/>
      <c r="T554" s="46"/>
      <c r="U554" s="44" t="s">
        <v>96</v>
      </c>
      <c r="V554" s="46"/>
      <c r="W554" s="44"/>
      <c r="X554" s="44"/>
      <c r="Y554" s="44"/>
      <c r="Z554" s="44"/>
      <c r="AA554" s="44"/>
      <c r="AB554" s="42"/>
      <c r="AC554" s="47" t="s">
        <v>97</v>
      </c>
      <c r="AD554" s="48"/>
      <c r="AE554" s="43"/>
      <c r="AF554" s="43"/>
      <c r="AG554" s="43"/>
      <c r="AH554" s="43"/>
      <c r="AI554" s="55"/>
      <c r="AJ554" s="52"/>
      <c r="AT554" s="52"/>
      <c r="AU554" s="59"/>
      <c r="AV554" s="58"/>
      <c r="AW554" s="58"/>
      <c r="AX554" s="54" t="s">
        <v>69</v>
      </c>
      <c r="AY554" s="43" t="s">
        <v>70</v>
      </c>
      <c r="AZ554" s="43" t="s">
        <v>70</v>
      </c>
      <c r="BA554" s="43" t="s">
        <v>71</v>
      </c>
      <c r="BB554" s="43" t="s">
        <v>69</v>
      </c>
      <c r="BC554" s="51">
        <v>31</v>
      </c>
      <c r="BD554" s="43" t="s">
        <v>70</v>
      </c>
      <c r="BE554" s="9">
        <f t="shared" si="21"/>
        <v>545</v>
      </c>
      <c r="BF554" s="9" t="str">
        <f t="shared" si="20"/>
        <v>..</v>
      </c>
    </row>
    <row r="555" spans="13:58" ht="18" customHeight="1">
      <c r="M555" s="61" t="s">
        <v>93</v>
      </c>
      <c r="N555" s="44"/>
      <c r="O555" s="44"/>
      <c r="P555" s="44"/>
      <c r="Q555" s="45"/>
      <c r="R555" s="46"/>
      <c r="S555" s="46"/>
      <c r="T555" s="46"/>
      <c r="U555" s="44" t="s">
        <v>96</v>
      </c>
      <c r="V555" s="46"/>
      <c r="W555" s="44"/>
      <c r="X555" s="44"/>
      <c r="Y555" s="44"/>
      <c r="Z555" s="44"/>
      <c r="AA555" s="44"/>
      <c r="AB555" s="42"/>
      <c r="AC555" s="47" t="s">
        <v>97</v>
      </c>
      <c r="AD555" s="48"/>
      <c r="AE555" s="43"/>
      <c r="AF555" s="43"/>
      <c r="AG555" s="43"/>
      <c r="AH555" s="43"/>
      <c r="AI555" s="55"/>
      <c r="AJ555" s="52"/>
      <c r="AT555" s="52"/>
      <c r="AU555" s="59"/>
      <c r="AV555" s="58"/>
      <c r="AW555" s="58"/>
      <c r="AX555" s="54" t="s">
        <v>69</v>
      </c>
      <c r="AY555" s="43" t="s">
        <v>70</v>
      </c>
      <c r="AZ555" s="43" t="s">
        <v>70</v>
      </c>
      <c r="BA555" s="43" t="s">
        <v>71</v>
      </c>
      <c r="BB555" s="43" t="s">
        <v>69</v>
      </c>
      <c r="BC555" s="51">
        <v>31</v>
      </c>
      <c r="BD555" s="43" t="s">
        <v>70</v>
      </c>
      <c r="BE555" s="9">
        <f t="shared" si="21"/>
        <v>546</v>
      </c>
      <c r="BF555" s="9" t="str">
        <f t="shared" si="20"/>
        <v>..</v>
      </c>
    </row>
    <row r="556" spans="13:58" ht="18" customHeight="1">
      <c r="M556" s="61" t="s">
        <v>93</v>
      </c>
      <c r="N556" s="44"/>
      <c r="O556" s="44"/>
      <c r="P556" s="44"/>
      <c r="Q556" s="45"/>
      <c r="R556" s="46"/>
      <c r="S556" s="46"/>
      <c r="T556" s="46"/>
      <c r="U556" s="44" t="s">
        <v>96</v>
      </c>
      <c r="V556" s="46"/>
      <c r="W556" s="44"/>
      <c r="X556" s="44"/>
      <c r="Y556" s="44"/>
      <c r="Z556" s="44"/>
      <c r="AA556" s="44"/>
      <c r="AB556" s="42"/>
      <c r="AC556" s="47" t="s">
        <v>97</v>
      </c>
      <c r="AD556" s="48"/>
      <c r="AE556" s="43"/>
      <c r="AF556" s="43"/>
      <c r="AG556" s="43"/>
      <c r="AH556" s="43"/>
      <c r="AI556" s="55"/>
      <c r="AJ556" s="52"/>
      <c r="AT556" s="52"/>
      <c r="AU556" s="59"/>
      <c r="AV556" s="58"/>
      <c r="AW556" s="58"/>
      <c r="AX556" s="54" t="s">
        <v>69</v>
      </c>
      <c r="AY556" s="43" t="s">
        <v>70</v>
      </c>
      <c r="AZ556" s="43" t="s">
        <v>70</v>
      </c>
      <c r="BA556" s="43" t="s">
        <v>71</v>
      </c>
      <c r="BB556" s="43" t="s">
        <v>69</v>
      </c>
      <c r="BC556" s="51">
        <v>31</v>
      </c>
      <c r="BD556" s="43" t="s">
        <v>70</v>
      </c>
      <c r="BE556" s="9">
        <f t="shared" si="21"/>
        <v>547</v>
      </c>
      <c r="BF556" s="9" t="str">
        <f t="shared" si="20"/>
        <v>..</v>
      </c>
    </row>
    <row r="557" spans="13:58" ht="18" customHeight="1">
      <c r="M557" s="61" t="s">
        <v>93</v>
      </c>
      <c r="N557" s="44"/>
      <c r="O557" s="44"/>
      <c r="P557" s="44"/>
      <c r="Q557" s="45"/>
      <c r="R557" s="46"/>
      <c r="S557" s="46"/>
      <c r="T557" s="46"/>
      <c r="U557" s="44" t="s">
        <v>96</v>
      </c>
      <c r="V557" s="46"/>
      <c r="W557" s="44"/>
      <c r="X557" s="44"/>
      <c r="Y557" s="44"/>
      <c r="Z557" s="44"/>
      <c r="AA557" s="44"/>
      <c r="AB557" s="42"/>
      <c r="AC557" s="47" t="s">
        <v>97</v>
      </c>
      <c r="AD557" s="48"/>
      <c r="AE557" s="43"/>
      <c r="AF557" s="43"/>
      <c r="AG557" s="43"/>
      <c r="AH557" s="43"/>
      <c r="AI557" s="55"/>
      <c r="AJ557" s="52"/>
      <c r="AT557" s="52"/>
      <c r="AU557" s="59"/>
      <c r="AV557" s="58"/>
      <c r="AW557" s="58"/>
      <c r="AX557" s="54" t="s">
        <v>69</v>
      </c>
      <c r="AY557" s="43" t="s">
        <v>70</v>
      </c>
      <c r="AZ557" s="43" t="s">
        <v>70</v>
      </c>
      <c r="BA557" s="43" t="s">
        <v>71</v>
      </c>
      <c r="BB557" s="43" t="s">
        <v>69</v>
      </c>
      <c r="BC557" s="51">
        <v>31</v>
      </c>
      <c r="BD557" s="43" t="s">
        <v>70</v>
      </c>
      <c r="BE557" s="9">
        <f t="shared" si="21"/>
        <v>548</v>
      </c>
      <c r="BF557" s="9" t="str">
        <f t="shared" si="20"/>
        <v>..</v>
      </c>
    </row>
    <row r="558" spans="13:58" ht="18" customHeight="1">
      <c r="M558" s="61" t="s">
        <v>93</v>
      </c>
      <c r="N558" s="44"/>
      <c r="O558" s="44"/>
      <c r="P558" s="44"/>
      <c r="Q558" s="45"/>
      <c r="R558" s="46"/>
      <c r="S558" s="46"/>
      <c r="T558" s="46"/>
      <c r="U558" s="44" t="s">
        <v>96</v>
      </c>
      <c r="V558" s="46"/>
      <c r="W558" s="44"/>
      <c r="X558" s="44"/>
      <c r="Y558" s="44"/>
      <c r="Z558" s="44"/>
      <c r="AA558" s="44"/>
      <c r="AB558" s="42"/>
      <c r="AC558" s="47" t="s">
        <v>97</v>
      </c>
      <c r="AD558" s="48"/>
      <c r="AE558" s="43"/>
      <c r="AF558" s="43"/>
      <c r="AG558" s="43"/>
      <c r="AH558" s="43"/>
      <c r="AI558" s="55"/>
      <c r="AJ558" s="52"/>
      <c r="AT558" s="52"/>
      <c r="AU558" s="59"/>
      <c r="AV558" s="58"/>
      <c r="AW558" s="58"/>
      <c r="AX558" s="54" t="s">
        <v>69</v>
      </c>
      <c r="AY558" s="43" t="s">
        <v>70</v>
      </c>
      <c r="AZ558" s="43" t="s">
        <v>70</v>
      </c>
      <c r="BA558" s="43" t="s">
        <v>71</v>
      </c>
      <c r="BB558" s="43" t="s">
        <v>69</v>
      </c>
      <c r="BC558" s="51">
        <v>31</v>
      </c>
      <c r="BD558" s="43" t="s">
        <v>70</v>
      </c>
      <c r="BE558" s="9">
        <f t="shared" si="21"/>
        <v>549</v>
      </c>
      <c r="BF558" s="9" t="str">
        <f t="shared" si="20"/>
        <v>..</v>
      </c>
    </row>
    <row r="559" spans="13:58" ht="18" customHeight="1">
      <c r="M559" s="61" t="s">
        <v>93</v>
      </c>
      <c r="N559" s="44"/>
      <c r="O559" s="44"/>
      <c r="P559" s="44"/>
      <c r="Q559" s="45"/>
      <c r="R559" s="46"/>
      <c r="S559" s="46"/>
      <c r="T559" s="46"/>
      <c r="U559" s="44" t="s">
        <v>96</v>
      </c>
      <c r="V559" s="46"/>
      <c r="W559" s="44"/>
      <c r="X559" s="44"/>
      <c r="Y559" s="44"/>
      <c r="Z559" s="44"/>
      <c r="AA559" s="44"/>
      <c r="AB559" s="42"/>
      <c r="AC559" s="47" t="s">
        <v>97</v>
      </c>
      <c r="AD559" s="48"/>
      <c r="AE559" s="43"/>
      <c r="AF559" s="43"/>
      <c r="AG559" s="43"/>
      <c r="AH559" s="43"/>
      <c r="AI559" s="55"/>
      <c r="AJ559" s="52"/>
      <c r="AT559" s="52"/>
      <c r="AU559" s="59"/>
      <c r="AV559" s="58"/>
      <c r="AW559" s="58"/>
      <c r="AX559" s="54" t="s">
        <v>69</v>
      </c>
      <c r="AY559" s="43" t="s">
        <v>70</v>
      </c>
      <c r="AZ559" s="43" t="s">
        <v>70</v>
      </c>
      <c r="BA559" s="43" t="s">
        <v>71</v>
      </c>
      <c r="BB559" s="43" t="s">
        <v>69</v>
      </c>
      <c r="BC559" s="51">
        <v>31</v>
      </c>
      <c r="BD559" s="43" t="s">
        <v>70</v>
      </c>
      <c r="BE559" s="9">
        <f t="shared" si="21"/>
        <v>550</v>
      </c>
      <c r="BF559" s="9" t="str">
        <f t="shared" si="20"/>
        <v>..</v>
      </c>
    </row>
    <row r="560" spans="13:58" ht="18" customHeight="1">
      <c r="M560" s="61" t="s">
        <v>93</v>
      </c>
      <c r="N560" s="44"/>
      <c r="O560" s="44"/>
      <c r="P560" s="44"/>
      <c r="Q560" s="45"/>
      <c r="R560" s="46"/>
      <c r="S560" s="46"/>
      <c r="T560" s="46"/>
      <c r="U560" s="44" t="s">
        <v>96</v>
      </c>
      <c r="V560" s="46"/>
      <c r="W560" s="44"/>
      <c r="X560" s="44"/>
      <c r="Y560" s="44"/>
      <c r="Z560" s="44"/>
      <c r="AA560" s="44"/>
      <c r="AB560" s="42"/>
      <c r="AC560" s="47" t="s">
        <v>97</v>
      </c>
      <c r="AD560" s="48"/>
      <c r="AE560" s="43"/>
      <c r="AF560" s="43"/>
      <c r="AG560" s="43"/>
      <c r="AH560" s="43"/>
      <c r="AI560" s="55"/>
      <c r="AJ560" s="52"/>
      <c r="AT560" s="52"/>
      <c r="AU560" s="59"/>
      <c r="AV560" s="58"/>
      <c r="AW560" s="58"/>
      <c r="AX560" s="54" t="s">
        <v>69</v>
      </c>
      <c r="AY560" s="43" t="s">
        <v>70</v>
      </c>
      <c r="AZ560" s="43" t="s">
        <v>70</v>
      </c>
      <c r="BA560" s="43" t="s">
        <v>71</v>
      </c>
      <c r="BB560" s="43" t="s">
        <v>69</v>
      </c>
      <c r="BC560" s="51">
        <v>31</v>
      </c>
      <c r="BD560" s="43" t="s">
        <v>70</v>
      </c>
      <c r="BE560" s="9">
        <f t="shared" si="21"/>
        <v>551</v>
      </c>
      <c r="BF560" s="9" t="str">
        <f t="shared" si="20"/>
        <v>..</v>
      </c>
    </row>
    <row r="561" spans="13:58" ht="18" customHeight="1">
      <c r="M561" s="61" t="s">
        <v>93</v>
      </c>
      <c r="N561" s="44"/>
      <c r="O561" s="44"/>
      <c r="P561" s="44"/>
      <c r="Q561" s="45"/>
      <c r="R561" s="46"/>
      <c r="S561" s="46"/>
      <c r="T561" s="46"/>
      <c r="U561" s="44" t="s">
        <v>96</v>
      </c>
      <c r="V561" s="46"/>
      <c r="W561" s="44"/>
      <c r="X561" s="44"/>
      <c r="Y561" s="44"/>
      <c r="Z561" s="44"/>
      <c r="AA561" s="44"/>
      <c r="AB561" s="42"/>
      <c r="AC561" s="47" t="s">
        <v>97</v>
      </c>
      <c r="AD561" s="48"/>
      <c r="AE561" s="43"/>
      <c r="AF561" s="43"/>
      <c r="AG561" s="43"/>
      <c r="AH561" s="43"/>
      <c r="AI561" s="55"/>
      <c r="AJ561" s="52"/>
      <c r="AT561" s="52"/>
      <c r="AU561" s="59"/>
      <c r="AV561" s="58"/>
      <c r="AW561" s="58"/>
      <c r="AX561" s="54" t="s">
        <v>69</v>
      </c>
      <c r="AY561" s="43" t="s">
        <v>70</v>
      </c>
      <c r="AZ561" s="43" t="s">
        <v>70</v>
      </c>
      <c r="BA561" s="43" t="s">
        <v>71</v>
      </c>
      <c r="BB561" s="43" t="s">
        <v>69</v>
      </c>
      <c r="BC561" s="51">
        <v>31</v>
      </c>
      <c r="BD561" s="43" t="s">
        <v>70</v>
      </c>
      <c r="BE561" s="9">
        <f t="shared" si="21"/>
        <v>552</v>
      </c>
      <c r="BF561" s="9" t="str">
        <f t="shared" si="20"/>
        <v>..</v>
      </c>
    </row>
    <row r="562" spans="13:58" ht="18" customHeight="1">
      <c r="M562" s="61" t="s">
        <v>93</v>
      </c>
      <c r="N562" s="44"/>
      <c r="O562" s="44"/>
      <c r="P562" s="44"/>
      <c r="Q562" s="45"/>
      <c r="R562" s="46"/>
      <c r="S562" s="46"/>
      <c r="T562" s="46"/>
      <c r="U562" s="44" t="s">
        <v>96</v>
      </c>
      <c r="V562" s="46"/>
      <c r="W562" s="44"/>
      <c r="X562" s="44"/>
      <c r="Y562" s="44"/>
      <c r="Z562" s="44"/>
      <c r="AA562" s="44"/>
      <c r="AB562" s="42"/>
      <c r="AC562" s="47" t="s">
        <v>97</v>
      </c>
      <c r="AD562" s="48"/>
      <c r="AE562" s="43"/>
      <c r="AF562" s="43"/>
      <c r="AG562" s="43"/>
      <c r="AH562" s="43"/>
      <c r="AI562" s="55"/>
      <c r="AJ562" s="52"/>
      <c r="AT562" s="52"/>
      <c r="AU562" s="59"/>
      <c r="AV562" s="58"/>
      <c r="AW562" s="58"/>
      <c r="AX562" s="54" t="s">
        <v>69</v>
      </c>
      <c r="AY562" s="43" t="s">
        <v>70</v>
      </c>
      <c r="AZ562" s="43" t="s">
        <v>70</v>
      </c>
      <c r="BA562" s="43" t="s">
        <v>71</v>
      </c>
      <c r="BB562" s="43" t="s">
        <v>69</v>
      </c>
      <c r="BC562" s="51">
        <v>31</v>
      </c>
      <c r="BD562" s="43" t="s">
        <v>70</v>
      </c>
      <c r="BE562" s="9">
        <f t="shared" si="21"/>
        <v>553</v>
      </c>
      <c r="BF562" s="9" t="str">
        <f t="shared" si="20"/>
        <v>..</v>
      </c>
    </row>
    <row r="563" spans="13:58" ht="18" customHeight="1">
      <c r="M563" s="61" t="s">
        <v>93</v>
      </c>
      <c r="N563" s="44"/>
      <c r="O563" s="44"/>
      <c r="P563" s="44"/>
      <c r="Q563" s="45"/>
      <c r="R563" s="46"/>
      <c r="S563" s="46"/>
      <c r="T563" s="46"/>
      <c r="U563" s="44" t="s">
        <v>96</v>
      </c>
      <c r="V563" s="46"/>
      <c r="W563" s="44"/>
      <c r="X563" s="44"/>
      <c r="Y563" s="44"/>
      <c r="Z563" s="44"/>
      <c r="AA563" s="44"/>
      <c r="AB563" s="42"/>
      <c r="AC563" s="47" t="s">
        <v>97</v>
      </c>
      <c r="AD563" s="48"/>
      <c r="AE563" s="43"/>
      <c r="AF563" s="43"/>
      <c r="AG563" s="43"/>
      <c r="AH563" s="43"/>
      <c r="AI563" s="55"/>
      <c r="AJ563" s="52"/>
      <c r="AT563" s="52"/>
      <c r="AU563" s="59"/>
      <c r="AV563" s="58"/>
      <c r="AW563" s="58"/>
      <c r="AX563" s="54" t="s">
        <v>69</v>
      </c>
      <c r="AY563" s="43" t="s">
        <v>70</v>
      </c>
      <c r="AZ563" s="43" t="s">
        <v>70</v>
      </c>
      <c r="BA563" s="43" t="s">
        <v>71</v>
      </c>
      <c r="BB563" s="43" t="s">
        <v>69</v>
      </c>
      <c r="BC563" s="51">
        <v>31</v>
      </c>
      <c r="BD563" s="43" t="s">
        <v>70</v>
      </c>
      <c r="BE563" s="9">
        <f t="shared" si="21"/>
        <v>554</v>
      </c>
      <c r="BF563" s="9" t="str">
        <f t="shared" si="20"/>
        <v>..</v>
      </c>
    </row>
    <row r="564" spans="13:58" ht="18" customHeight="1">
      <c r="M564" s="61" t="s">
        <v>93</v>
      </c>
      <c r="N564" s="44"/>
      <c r="O564" s="44"/>
      <c r="P564" s="44"/>
      <c r="Q564" s="45"/>
      <c r="R564" s="46"/>
      <c r="S564" s="46"/>
      <c r="T564" s="46"/>
      <c r="U564" s="44" t="s">
        <v>96</v>
      </c>
      <c r="V564" s="46"/>
      <c r="W564" s="44"/>
      <c r="X564" s="44"/>
      <c r="Y564" s="44"/>
      <c r="Z564" s="44"/>
      <c r="AA564" s="44"/>
      <c r="AB564" s="42"/>
      <c r="AC564" s="47" t="s">
        <v>97</v>
      </c>
      <c r="AD564" s="48"/>
      <c r="AE564" s="43"/>
      <c r="AF564" s="43"/>
      <c r="AG564" s="43"/>
      <c r="AH564" s="43"/>
      <c r="AI564" s="55"/>
      <c r="AJ564" s="52"/>
      <c r="AT564" s="52"/>
      <c r="AU564" s="59"/>
      <c r="AV564" s="58"/>
      <c r="AW564" s="58"/>
      <c r="AX564" s="54" t="s">
        <v>69</v>
      </c>
      <c r="AY564" s="43" t="s">
        <v>70</v>
      </c>
      <c r="AZ564" s="43" t="s">
        <v>70</v>
      </c>
      <c r="BA564" s="43" t="s">
        <v>71</v>
      </c>
      <c r="BB564" s="43" t="s">
        <v>69</v>
      </c>
      <c r="BC564" s="51">
        <v>31</v>
      </c>
      <c r="BD564" s="43" t="s">
        <v>70</v>
      </c>
      <c r="BE564" s="9">
        <f t="shared" si="21"/>
        <v>555</v>
      </c>
      <c r="BF564" s="9" t="str">
        <f t="shared" si="20"/>
        <v>..</v>
      </c>
    </row>
    <row r="565" spans="13:58" ht="18" customHeight="1">
      <c r="M565" s="61" t="s">
        <v>93</v>
      </c>
      <c r="N565" s="44"/>
      <c r="O565" s="44"/>
      <c r="P565" s="44"/>
      <c r="Q565" s="45"/>
      <c r="R565" s="46"/>
      <c r="S565" s="46"/>
      <c r="T565" s="46"/>
      <c r="U565" s="44" t="s">
        <v>96</v>
      </c>
      <c r="V565" s="46"/>
      <c r="W565" s="44"/>
      <c r="X565" s="44"/>
      <c r="Y565" s="44"/>
      <c r="Z565" s="44"/>
      <c r="AA565" s="44"/>
      <c r="AB565" s="42"/>
      <c r="AC565" s="47" t="s">
        <v>97</v>
      </c>
      <c r="AD565" s="48"/>
      <c r="AE565" s="43"/>
      <c r="AF565" s="43"/>
      <c r="AG565" s="43"/>
      <c r="AH565" s="43"/>
      <c r="AI565" s="55"/>
      <c r="AJ565" s="52"/>
      <c r="AT565" s="52"/>
      <c r="AU565" s="59"/>
      <c r="AV565" s="58"/>
      <c r="AW565" s="58"/>
      <c r="AX565" s="54" t="s">
        <v>69</v>
      </c>
      <c r="AY565" s="43" t="s">
        <v>70</v>
      </c>
      <c r="AZ565" s="43" t="s">
        <v>70</v>
      </c>
      <c r="BA565" s="43" t="s">
        <v>71</v>
      </c>
      <c r="BB565" s="43" t="s">
        <v>69</v>
      </c>
      <c r="BC565" s="51">
        <v>31</v>
      </c>
      <c r="BD565" s="43" t="s">
        <v>70</v>
      </c>
      <c r="BE565" s="9">
        <f t="shared" si="21"/>
        <v>556</v>
      </c>
      <c r="BF565" s="9" t="str">
        <f t="shared" si="20"/>
        <v>..</v>
      </c>
    </row>
    <row r="566" spans="13:58" ht="18" customHeight="1">
      <c r="M566" s="61" t="s">
        <v>93</v>
      </c>
      <c r="N566" s="44"/>
      <c r="O566" s="44"/>
      <c r="P566" s="44"/>
      <c r="Q566" s="45"/>
      <c r="R566" s="46"/>
      <c r="S566" s="46"/>
      <c r="T566" s="46"/>
      <c r="U566" s="44" t="s">
        <v>96</v>
      </c>
      <c r="V566" s="46"/>
      <c r="W566" s="44"/>
      <c r="X566" s="44"/>
      <c r="Y566" s="44"/>
      <c r="Z566" s="44"/>
      <c r="AA566" s="44"/>
      <c r="AB566" s="42"/>
      <c r="AC566" s="47" t="s">
        <v>97</v>
      </c>
      <c r="AD566" s="48"/>
      <c r="AE566" s="43"/>
      <c r="AF566" s="43"/>
      <c r="AG566" s="43"/>
      <c r="AH566" s="43"/>
      <c r="AI566" s="55"/>
      <c r="AJ566" s="52"/>
      <c r="AT566" s="52"/>
      <c r="AU566" s="59"/>
      <c r="AV566" s="58"/>
      <c r="AW566" s="58"/>
      <c r="AX566" s="54" t="s">
        <v>69</v>
      </c>
      <c r="AY566" s="43" t="s">
        <v>70</v>
      </c>
      <c r="AZ566" s="43" t="s">
        <v>70</v>
      </c>
      <c r="BA566" s="43" t="s">
        <v>71</v>
      </c>
      <c r="BB566" s="43" t="s">
        <v>69</v>
      </c>
      <c r="BC566" s="51">
        <v>31</v>
      </c>
      <c r="BD566" s="43" t="s">
        <v>70</v>
      </c>
      <c r="BE566" s="9">
        <f t="shared" si="21"/>
        <v>557</v>
      </c>
      <c r="BF566" s="9" t="str">
        <f t="shared" si="20"/>
        <v>..</v>
      </c>
    </row>
    <row r="567" spans="13:58" ht="18" customHeight="1">
      <c r="M567" s="61" t="s">
        <v>93</v>
      </c>
      <c r="N567" s="44"/>
      <c r="O567" s="44"/>
      <c r="P567" s="44"/>
      <c r="Q567" s="45"/>
      <c r="R567" s="46"/>
      <c r="S567" s="46"/>
      <c r="T567" s="46"/>
      <c r="U567" s="44" t="s">
        <v>96</v>
      </c>
      <c r="V567" s="46"/>
      <c r="W567" s="44"/>
      <c r="X567" s="44"/>
      <c r="Y567" s="44"/>
      <c r="Z567" s="44"/>
      <c r="AA567" s="44"/>
      <c r="AB567" s="42"/>
      <c r="AC567" s="47" t="s">
        <v>97</v>
      </c>
      <c r="AD567" s="48"/>
      <c r="AE567" s="43"/>
      <c r="AF567" s="43"/>
      <c r="AG567" s="43"/>
      <c r="AH567" s="43"/>
      <c r="AI567" s="55"/>
      <c r="AJ567" s="52"/>
      <c r="AT567" s="52"/>
      <c r="AU567" s="59"/>
      <c r="AV567" s="58"/>
      <c r="AW567" s="58"/>
      <c r="AX567" s="54" t="s">
        <v>69</v>
      </c>
      <c r="AY567" s="43" t="s">
        <v>70</v>
      </c>
      <c r="AZ567" s="43" t="s">
        <v>70</v>
      </c>
      <c r="BA567" s="43" t="s">
        <v>71</v>
      </c>
      <c r="BB567" s="43" t="s">
        <v>69</v>
      </c>
      <c r="BC567" s="51">
        <v>31</v>
      </c>
      <c r="BD567" s="43" t="s">
        <v>70</v>
      </c>
      <c r="BE567" s="9">
        <f t="shared" si="21"/>
        <v>558</v>
      </c>
      <c r="BF567" s="9" t="str">
        <f t="shared" si="20"/>
        <v>..</v>
      </c>
    </row>
    <row r="568" spans="13:58" ht="18" customHeight="1">
      <c r="M568" s="61" t="s">
        <v>93</v>
      </c>
      <c r="N568" s="44"/>
      <c r="O568" s="44"/>
      <c r="P568" s="44"/>
      <c r="Q568" s="45"/>
      <c r="R568" s="46"/>
      <c r="S568" s="46"/>
      <c r="T568" s="46"/>
      <c r="U568" s="44" t="s">
        <v>96</v>
      </c>
      <c r="V568" s="46"/>
      <c r="W568" s="44"/>
      <c r="X568" s="44"/>
      <c r="Y568" s="44"/>
      <c r="Z568" s="44"/>
      <c r="AA568" s="44"/>
      <c r="AB568" s="42"/>
      <c r="AC568" s="47" t="s">
        <v>97</v>
      </c>
      <c r="AD568" s="48"/>
      <c r="AE568" s="43"/>
      <c r="AF568" s="43"/>
      <c r="AG568" s="43"/>
      <c r="AH568" s="43"/>
      <c r="AI568" s="55"/>
      <c r="AJ568" s="52"/>
      <c r="AT568" s="52"/>
      <c r="AU568" s="59"/>
      <c r="AV568" s="58"/>
      <c r="AW568" s="58"/>
      <c r="AX568" s="54" t="s">
        <v>69</v>
      </c>
      <c r="AY568" s="43" t="s">
        <v>70</v>
      </c>
      <c r="AZ568" s="43" t="s">
        <v>70</v>
      </c>
      <c r="BA568" s="43" t="s">
        <v>71</v>
      </c>
      <c r="BB568" s="43" t="s">
        <v>69</v>
      </c>
      <c r="BC568" s="51">
        <v>31</v>
      </c>
      <c r="BD568" s="43" t="s">
        <v>70</v>
      </c>
      <c r="BE568" s="9">
        <f t="shared" si="21"/>
        <v>559</v>
      </c>
      <c r="BF568" s="9" t="str">
        <f t="shared" si="20"/>
        <v>..</v>
      </c>
    </row>
    <row r="569" spans="13:58" ht="18" customHeight="1">
      <c r="M569" s="61" t="s">
        <v>93</v>
      </c>
      <c r="N569" s="44"/>
      <c r="O569" s="44"/>
      <c r="P569" s="44"/>
      <c r="Q569" s="45"/>
      <c r="R569" s="46"/>
      <c r="S569" s="46"/>
      <c r="T569" s="46"/>
      <c r="U569" s="44" t="s">
        <v>96</v>
      </c>
      <c r="V569" s="46"/>
      <c r="W569" s="44"/>
      <c r="X569" s="44"/>
      <c r="Y569" s="44"/>
      <c r="Z569" s="44"/>
      <c r="AA569" s="44"/>
      <c r="AB569" s="42"/>
      <c r="AC569" s="47" t="s">
        <v>97</v>
      </c>
      <c r="AD569" s="48"/>
      <c r="AE569" s="43"/>
      <c r="AF569" s="43"/>
      <c r="AG569" s="43"/>
      <c r="AH569" s="43"/>
      <c r="AI569" s="55"/>
      <c r="AJ569" s="52"/>
      <c r="AT569" s="52"/>
      <c r="AU569" s="59"/>
      <c r="AV569" s="58"/>
      <c r="AW569" s="58"/>
      <c r="AX569" s="54" t="s">
        <v>69</v>
      </c>
      <c r="AY569" s="43" t="s">
        <v>70</v>
      </c>
      <c r="AZ569" s="43" t="s">
        <v>70</v>
      </c>
      <c r="BA569" s="43" t="s">
        <v>71</v>
      </c>
      <c r="BB569" s="43" t="s">
        <v>69</v>
      </c>
      <c r="BC569" s="51">
        <v>31</v>
      </c>
      <c r="BD569" s="43" t="s">
        <v>70</v>
      </c>
      <c r="BE569" s="9">
        <f t="shared" si="21"/>
        <v>560</v>
      </c>
      <c r="BF569" s="9" t="str">
        <f t="shared" si="20"/>
        <v>..</v>
      </c>
    </row>
    <row r="570" spans="13:58" ht="18" customHeight="1">
      <c r="M570" s="61" t="s">
        <v>93</v>
      </c>
      <c r="N570" s="44"/>
      <c r="O570" s="44"/>
      <c r="P570" s="44"/>
      <c r="Q570" s="45"/>
      <c r="R570" s="46"/>
      <c r="S570" s="46"/>
      <c r="T570" s="46"/>
      <c r="U570" s="44" t="s">
        <v>96</v>
      </c>
      <c r="V570" s="46"/>
      <c r="W570" s="44"/>
      <c r="X570" s="44"/>
      <c r="Y570" s="44"/>
      <c r="Z570" s="44"/>
      <c r="AA570" s="44"/>
      <c r="AB570" s="42"/>
      <c r="AC570" s="47" t="s">
        <v>97</v>
      </c>
      <c r="AD570" s="48"/>
      <c r="AE570" s="43"/>
      <c r="AF570" s="43"/>
      <c r="AG570" s="43"/>
      <c r="AH570" s="43"/>
      <c r="AI570" s="55"/>
      <c r="AJ570" s="52"/>
      <c r="AT570" s="52"/>
      <c r="AU570" s="59"/>
      <c r="AV570" s="58"/>
      <c r="AW570" s="58"/>
      <c r="AX570" s="54" t="s">
        <v>69</v>
      </c>
      <c r="AY570" s="43" t="s">
        <v>70</v>
      </c>
      <c r="AZ570" s="43" t="s">
        <v>70</v>
      </c>
      <c r="BA570" s="43" t="s">
        <v>71</v>
      </c>
      <c r="BB570" s="43" t="s">
        <v>69</v>
      </c>
      <c r="BC570" s="51">
        <v>31</v>
      </c>
      <c r="BD570" s="43" t="s">
        <v>70</v>
      </c>
      <c r="BE570" s="9">
        <f t="shared" si="21"/>
        <v>561</v>
      </c>
      <c r="BF570" s="9" t="str">
        <f t="shared" si="20"/>
        <v>..</v>
      </c>
    </row>
    <row r="571" spans="13:58" ht="18" customHeight="1">
      <c r="M571" s="61" t="s">
        <v>93</v>
      </c>
      <c r="N571" s="44"/>
      <c r="O571" s="44"/>
      <c r="P571" s="44"/>
      <c r="Q571" s="45"/>
      <c r="R571" s="46"/>
      <c r="S571" s="46"/>
      <c r="T571" s="46"/>
      <c r="U571" s="44" t="s">
        <v>96</v>
      </c>
      <c r="V571" s="46"/>
      <c r="W571" s="44"/>
      <c r="X571" s="44"/>
      <c r="Y571" s="44"/>
      <c r="Z571" s="44"/>
      <c r="AA571" s="44"/>
      <c r="AB571" s="42"/>
      <c r="AC571" s="47" t="s">
        <v>97</v>
      </c>
      <c r="AD571" s="48"/>
      <c r="AE571" s="43"/>
      <c r="AF571" s="43"/>
      <c r="AG571" s="43"/>
      <c r="AH571" s="43"/>
      <c r="AI571" s="55"/>
      <c r="AJ571" s="52"/>
      <c r="AT571" s="52"/>
      <c r="AU571" s="59"/>
      <c r="AV571" s="58"/>
      <c r="AW571" s="58"/>
      <c r="AX571" s="54" t="s">
        <v>69</v>
      </c>
      <c r="AY571" s="43" t="s">
        <v>70</v>
      </c>
      <c r="AZ571" s="43" t="s">
        <v>70</v>
      </c>
      <c r="BA571" s="43" t="s">
        <v>71</v>
      </c>
      <c r="BB571" s="43" t="s">
        <v>69</v>
      </c>
      <c r="BC571" s="51">
        <v>31</v>
      </c>
      <c r="BD571" s="43" t="s">
        <v>70</v>
      </c>
      <c r="BE571" s="9">
        <f t="shared" si="21"/>
        <v>562</v>
      </c>
      <c r="BF571" s="9" t="str">
        <f t="shared" si="20"/>
        <v>..</v>
      </c>
    </row>
    <row r="572" spans="13:58" ht="18" customHeight="1">
      <c r="M572" s="61" t="s">
        <v>93</v>
      </c>
      <c r="N572" s="44"/>
      <c r="O572" s="44"/>
      <c r="P572" s="44"/>
      <c r="Q572" s="45"/>
      <c r="R572" s="46"/>
      <c r="S572" s="46"/>
      <c r="T572" s="46"/>
      <c r="U572" s="44" t="s">
        <v>96</v>
      </c>
      <c r="V572" s="46"/>
      <c r="W572" s="44"/>
      <c r="X572" s="44"/>
      <c r="Y572" s="44"/>
      <c r="Z572" s="44"/>
      <c r="AA572" s="44"/>
      <c r="AB572" s="42"/>
      <c r="AC572" s="47" t="s">
        <v>97</v>
      </c>
      <c r="AD572" s="48"/>
      <c r="AE572" s="43"/>
      <c r="AF572" s="43"/>
      <c r="AG572" s="43"/>
      <c r="AH572" s="43"/>
      <c r="AI572" s="55"/>
      <c r="AJ572" s="52"/>
      <c r="AT572" s="52"/>
      <c r="AU572" s="59"/>
      <c r="AV572" s="58"/>
      <c r="AW572" s="58"/>
      <c r="AX572" s="54" t="s">
        <v>69</v>
      </c>
      <c r="AY572" s="43" t="s">
        <v>70</v>
      </c>
      <c r="AZ572" s="43" t="s">
        <v>70</v>
      </c>
      <c r="BA572" s="43" t="s">
        <v>71</v>
      </c>
      <c r="BB572" s="43" t="s">
        <v>69</v>
      </c>
      <c r="BC572" s="51">
        <v>31</v>
      </c>
      <c r="BD572" s="43" t="s">
        <v>70</v>
      </c>
      <c r="BE572" s="9">
        <f t="shared" si="21"/>
        <v>563</v>
      </c>
      <c r="BF572" s="9" t="str">
        <f t="shared" si="20"/>
        <v>..</v>
      </c>
    </row>
    <row r="573" spans="13:58" ht="18" customHeight="1">
      <c r="M573" s="61" t="s">
        <v>93</v>
      </c>
      <c r="N573" s="44"/>
      <c r="O573" s="44"/>
      <c r="P573" s="44"/>
      <c r="Q573" s="45"/>
      <c r="R573" s="46"/>
      <c r="S573" s="46"/>
      <c r="T573" s="46"/>
      <c r="U573" s="44" t="s">
        <v>96</v>
      </c>
      <c r="V573" s="46"/>
      <c r="W573" s="44"/>
      <c r="X573" s="44"/>
      <c r="Y573" s="44"/>
      <c r="Z573" s="44"/>
      <c r="AA573" s="44"/>
      <c r="AB573" s="42"/>
      <c r="AC573" s="47" t="s">
        <v>97</v>
      </c>
      <c r="AD573" s="48"/>
      <c r="AE573" s="43"/>
      <c r="AF573" s="43"/>
      <c r="AG573" s="43"/>
      <c r="AH573" s="43"/>
      <c r="AI573" s="55"/>
      <c r="AJ573" s="52"/>
      <c r="AT573" s="52"/>
      <c r="AU573" s="59"/>
      <c r="AV573" s="58"/>
      <c r="AW573" s="58"/>
      <c r="AX573" s="54" t="s">
        <v>69</v>
      </c>
      <c r="AY573" s="43" t="s">
        <v>70</v>
      </c>
      <c r="AZ573" s="43" t="s">
        <v>70</v>
      </c>
      <c r="BA573" s="43" t="s">
        <v>71</v>
      </c>
      <c r="BB573" s="43" t="s">
        <v>69</v>
      </c>
      <c r="BC573" s="51">
        <v>31</v>
      </c>
      <c r="BD573" s="43" t="s">
        <v>70</v>
      </c>
      <c r="BE573" s="9">
        <f t="shared" si="21"/>
        <v>564</v>
      </c>
      <c r="BF573" s="9" t="str">
        <f t="shared" si="20"/>
        <v>..</v>
      </c>
    </row>
    <row r="574" spans="13:58" ht="18" customHeight="1">
      <c r="M574" s="61" t="s">
        <v>93</v>
      </c>
      <c r="N574" s="44"/>
      <c r="O574" s="44"/>
      <c r="P574" s="44"/>
      <c r="Q574" s="45"/>
      <c r="R574" s="46"/>
      <c r="S574" s="46"/>
      <c r="T574" s="46"/>
      <c r="U574" s="44" t="s">
        <v>96</v>
      </c>
      <c r="V574" s="46"/>
      <c r="W574" s="44"/>
      <c r="X574" s="44"/>
      <c r="Y574" s="44"/>
      <c r="Z574" s="44"/>
      <c r="AA574" s="44"/>
      <c r="AB574" s="42"/>
      <c r="AC574" s="47" t="s">
        <v>97</v>
      </c>
      <c r="AD574" s="48"/>
      <c r="AE574" s="43"/>
      <c r="AF574" s="43"/>
      <c r="AG574" s="43"/>
      <c r="AH574" s="43"/>
      <c r="AI574" s="55"/>
      <c r="AJ574" s="52"/>
      <c r="AT574" s="52"/>
      <c r="AU574" s="59"/>
      <c r="AV574" s="58"/>
      <c r="AW574" s="58"/>
      <c r="AX574" s="54" t="s">
        <v>69</v>
      </c>
      <c r="AY574" s="43" t="s">
        <v>70</v>
      </c>
      <c r="AZ574" s="43" t="s">
        <v>70</v>
      </c>
      <c r="BA574" s="43" t="s">
        <v>71</v>
      </c>
      <c r="BB574" s="43" t="s">
        <v>69</v>
      </c>
      <c r="BC574" s="51">
        <v>31</v>
      </c>
      <c r="BD574" s="43" t="s">
        <v>70</v>
      </c>
      <c r="BE574" s="9">
        <f t="shared" si="21"/>
        <v>565</v>
      </c>
      <c r="BF574" s="9" t="str">
        <f t="shared" si="20"/>
        <v>..</v>
      </c>
    </row>
    <row r="575" spans="13:58" ht="18" customHeight="1">
      <c r="M575" s="61" t="s">
        <v>93</v>
      </c>
      <c r="N575" s="44"/>
      <c r="O575" s="44"/>
      <c r="P575" s="44"/>
      <c r="Q575" s="45"/>
      <c r="R575" s="46"/>
      <c r="S575" s="46"/>
      <c r="T575" s="46"/>
      <c r="U575" s="44" t="s">
        <v>96</v>
      </c>
      <c r="V575" s="46"/>
      <c r="W575" s="44"/>
      <c r="X575" s="44"/>
      <c r="Y575" s="44"/>
      <c r="Z575" s="44"/>
      <c r="AA575" s="44"/>
      <c r="AB575" s="42"/>
      <c r="AC575" s="47" t="s">
        <v>97</v>
      </c>
      <c r="AD575" s="48"/>
      <c r="AE575" s="43"/>
      <c r="AF575" s="43"/>
      <c r="AG575" s="43"/>
      <c r="AH575" s="43"/>
      <c r="AI575" s="55"/>
      <c r="AJ575" s="52"/>
      <c r="AT575" s="52"/>
      <c r="AU575" s="59"/>
      <c r="AV575" s="58"/>
      <c r="AW575" s="58"/>
      <c r="AX575" s="54" t="s">
        <v>69</v>
      </c>
      <c r="AY575" s="43" t="s">
        <v>70</v>
      </c>
      <c r="AZ575" s="43" t="s">
        <v>70</v>
      </c>
      <c r="BA575" s="43" t="s">
        <v>71</v>
      </c>
      <c r="BB575" s="43" t="s">
        <v>69</v>
      </c>
      <c r="BC575" s="51">
        <v>31</v>
      </c>
      <c r="BD575" s="43" t="s">
        <v>70</v>
      </c>
      <c r="BE575" s="9">
        <f t="shared" si="21"/>
        <v>566</v>
      </c>
      <c r="BF575" s="9" t="str">
        <f t="shared" si="20"/>
        <v>..</v>
      </c>
    </row>
    <row r="576" spans="13:58" ht="18" customHeight="1">
      <c r="M576" s="61" t="s">
        <v>93</v>
      </c>
      <c r="N576" s="44"/>
      <c r="O576" s="44"/>
      <c r="P576" s="44"/>
      <c r="Q576" s="45"/>
      <c r="R576" s="46"/>
      <c r="S576" s="46"/>
      <c r="T576" s="46"/>
      <c r="U576" s="44" t="s">
        <v>96</v>
      </c>
      <c r="V576" s="46"/>
      <c r="W576" s="44"/>
      <c r="X576" s="44"/>
      <c r="Y576" s="44"/>
      <c r="Z576" s="44"/>
      <c r="AA576" s="44"/>
      <c r="AB576" s="42"/>
      <c r="AC576" s="47" t="s">
        <v>97</v>
      </c>
      <c r="AD576" s="48"/>
      <c r="AE576" s="43"/>
      <c r="AF576" s="43"/>
      <c r="AG576" s="43"/>
      <c r="AH576" s="43"/>
      <c r="AI576" s="55"/>
      <c r="AJ576" s="52"/>
      <c r="AT576" s="52"/>
      <c r="AU576" s="59"/>
      <c r="AV576" s="58"/>
      <c r="AW576" s="58"/>
      <c r="AX576" s="54" t="s">
        <v>69</v>
      </c>
      <c r="AY576" s="43" t="s">
        <v>70</v>
      </c>
      <c r="AZ576" s="43" t="s">
        <v>70</v>
      </c>
      <c r="BA576" s="43" t="s">
        <v>71</v>
      </c>
      <c r="BB576" s="43" t="s">
        <v>69</v>
      </c>
      <c r="BC576" s="51">
        <v>31</v>
      </c>
      <c r="BD576" s="43" t="s">
        <v>70</v>
      </c>
      <c r="BE576" s="9">
        <f t="shared" si="21"/>
        <v>567</v>
      </c>
      <c r="BF576" s="9" t="str">
        <f t="shared" si="20"/>
        <v>..</v>
      </c>
    </row>
    <row r="577" spans="13:58" ht="18" customHeight="1">
      <c r="M577" s="61" t="s">
        <v>93</v>
      </c>
      <c r="N577" s="44"/>
      <c r="O577" s="44"/>
      <c r="P577" s="44"/>
      <c r="Q577" s="45"/>
      <c r="R577" s="46"/>
      <c r="S577" s="46"/>
      <c r="T577" s="46"/>
      <c r="U577" s="44" t="s">
        <v>96</v>
      </c>
      <c r="V577" s="46"/>
      <c r="W577" s="44"/>
      <c r="X577" s="44"/>
      <c r="Y577" s="44"/>
      <c r="Z577" s="44"/>
      <c r="AA577" s="44"/>
      <c r="AB577" s="42"/>
      <c r="AC577" s="47" t="s">
        <v>97</v>
      </c>
      <c r="AD577" s="48"/>
      <c r="AE577" s="43"/>
      <c r="AF577" s="43"/>
      <c r="AG577" s="43"/>
      <c r="AH577" s="43"/>
      <c r="AI577" s="55"/>
      <c r="AJ577" s="52"/>
      <c r="AT577" s="52"/>
      <c r="AU577" s="59"/>
      <c r="AV577" s="58"/>
      <c r="AW577" s="58"/>
      <c r="AX577" s="54" t="s">
        <v>69</v>
      </c>
      <c r="AY577" s="43" t="s">
        <v>70</v>
      </c>
      <c r="AZ577" s="43" t="s">
        <v>70</v>
      </c>
      <c r="BA577" s="43" t="s">
        <v>71</v>
      </c>
      <c r="BB577" s="43" t="s">
        <v>69</v>
      </c>
      <c r="BC577" s="51">
        <v>31</v>
      </c>
      <c r="BD577" s="43" t="s">
        <v>70</v>
      </c>
      <c r="BE577" s="9">
        <f t="shared" si="21"/>
        <v>568</v>
      </c>
      <c r="BF577" s="9" t="str">
        <f t="shared" si="20"/>
        <v>..</v>
      </c>
    </row>
    <row r="578" spans="13:58" ht="18" customHeight="1">
      <c r="M578" s="61" t="s">
        <v>93</v>
      </c>
      <c r="N578" s="44"/>
      <c r="O578" s="44"/>
      <c r="P578" s="44"/>
      <c r="Q578" s="45"/>
      <c r="R578" s="46"/>
      <c r="S578" s="46"/>
      <c r="T578" s="46"/>
      <c r="U578" s="44" t="s">
        <v>96</v>
      </c>
      <c r="V578" s="46"/>
      <c r="W578" s="44"/>
      <c r="X578" s="44"/>
      <c r="Y578" s="44"/>
      <c r="Z578" s="44"/>
      <c r="AA578" s="44"/>
      <c r="AB578" s="42"/>
      <c r="AC578" s="47" t="s">
        <v>97</v>
      </c>
      <c r="AD578" s="48"/>
      <c r="AE578" s="43"/>
      <c r="AF578" s="43"/>
      <c r="AG578" s="43"/>
      <c r="AH578" s="43"/>
      <c r="AI578" s="55"/>
      <c r="AJ578" s="52"/>
      <c r="AT578" s="52"/>
      <c r="AU578" s="59"/>
      <c r="AV578" s="58"/>
      <c r="AW578" s="58"/>
      <c r="AX578" s="54" t="s">
        <v>69</v>
      </c>
      <c r="AY578" s="43" t="s">
        <v>70</v>
      </c>
      <c r="AZ578" s="43" t="s">
        <v>70</v>
      </c>
      <c r="BA578" s="43" t="s">
        <v>71</v>
      </c>
      <c r="BB578" s="43" t="s">
        <v>69</v>
      </c>
      <c r="BC578" s="51">
        <v>31</v>
      </c>
      <c r="BD578" s="43" t="s">
        <v>70</v>
      </c>
      <c r="BE578" s="9">
        <f t="shared" si="21"/>
        <v>569</v>
      </c>
      <c r="BF578" s="9" t="str">
        <f t="shared" si="20"/>
        <v>..</v>
      </c>
    </row>
    <row r="579" spans="13:58" ht="18" customHeight="1">
      <c r="M579" s="61" t="s">
        <v>93</v>
      </c>
      <c r="N579" s="44"/>
      <c r="O579" s="44"/>
      <c r="P579" s="44"/>
      <c r="Q579" s="45"/>
      <c r="R579" s="46"/>
      <c r="S579" s="46"/>
      <c r="T579" s="46"/>
      <c r="U579" s="44" t="s">
        <v>96</v>
      </c>
      <c r="V579" s="46"/>
      <c r="W579" s="44"/>
      <c r="X579" s="44"/>
      <c r="Y579" s="44"/>
      <c r="Z579" s="44"/>
      <c r="AA579" s="44"/>
      <c r="AB579" s="42"/>
      <c r="AC579" s="47" t="s">
        <v>97</v>
      </c>
      <c r="AD579" s="48"/>
      <c r="AE579" s="43"/>
      <c r="AF579" s="43"/>
      <c r="AG579" s="43"/>
      <c r="AH579" s="43"/>
      <c r="AI579" s="55"/>
      <c r="AJ579" s="52"/>
      <c r="AT579" s="52"/>
      <c r="AU579" s="59"/>
      <c r="AV579" s="58"/>
      <c r="AW579" s="58"/>
      <c r="AX579" s="54" t="s">
        <v>69</v>
      </c>
      <c r="AY579" s="43" t="s">
        <v>70</v>
      </c>
      <c r="AZ579" s="43" t="s">
        <v>70</v>
      </c>
      <c r="BA579" s="43" t="s">
        <v>71</v>
      </c>
      <c r="BB579" s="43" t="s">
        <v>69</v>
      </c>
      <c r="BC579" s="51">
        <v>31</v>
      </c>
      <c r="BD579" s="43" t="s">
        <v>70</v>
      </c>
      <c r="BE579" s="9">
        <f t="shared" si="21"/>
        <v>570</v>
      </c>
      <c r="BF579" s="9" t="str">
        <f t="shared" si="20"/>
        <v>..</v>
      </c>
    </row>
    <row r="580" spans="13:58" ht="18" customHeight="1">
      <c r="M580" s="61" t="s">
        <v>93</v>
      </c>
      <c r="N580" s="44"/>
      <c r="O580" s="44"/>
      <c r="P580" s="44"/>
      <c r="Q580" s="45"/>
      <c r="R580" s="46"/>
      <c r="S580" s="46"/>
      <c r="T580" s="46"/>
      <c r="U580" s="44" t="s">
        <v>96</v>
      </c>
      <c r="V580" s="46"/>
      <c r="W580" s="44"/>
      <c r="X580" s="44"/>
      <c r="Y580" s="44"/>
      <c r="Z580" s="44"/>
      <c r="AA580" s="44"/>
      <c r="AB580" s="42"/>
      <c r="AC580" s="47" t="s">
        <v>97</v>
      </c>
      <c r="AD580" s="48"/>
      <c r="AE580" s="43"/>
      <c r="AF580" s="43"/>
      <c r="AG580" s="43"/>
      <c r="AH580" s="43"/>
      <c r="AI580" s="55"/>
      <c r="AJ580" s="52"/>
      <c r="AT580" s="52"/>
      <c r="AU580" s="59"/>
      <c r="AV580" s="58"/>
      <c r="AW580" s="58"/>
      <c r="AX580" s="54" t="s">
        <v>69</v>
      </c>
      <c r="AY580" s="43" t="s">
        <v>70</v>
      </c>
      <c r="AZ580" s="43" t="s">
        <v>70</v>
      </c>
      <c r="BA580" s="43" t="s">
        <v>71</v>
      </c>
      <c r="BB580" s="43" t="s">
        <v>69</v>
      </c>
      <c r="BC580" s="51">
        <v>31</v>
      </c>
      <c r="BD580" s="43" t="s">
        <v>70</v>
      </c>
      <c r="BE580" s="9">
        <f t="shared" si="21"/>
        <v>571</v>
      </c>
      <c r="BF580" s="9" t="str">
        <f t="shared" si="20"/>
        <v>..</v>
      </c>
    </row>
    <row r="581" spans="13:58" ht="18" customHeight="1">
      <c r="M581" s="61" t="s">
        <v>93</v>
      </c>
      <c r="N581" s="44"/>
      <c r="O581" s="44"/>
      <c r="P581" s="44"/>
      <c r="Q581" s="45"/>
      <c r="R581" s="46"/>
      <c r="S581" s="46"/>
      <c r="T581" s="46"/>
      <c r="U581" s="44" t="s">
        <v>96</v>
      </c>
      <c r="V581" s="46"/>
      <c r="W581" s="44"/>
      <c r="X581" s="44"/>
      <c r="Y581" s="44"/>
      <c r="Z581" s="44"/>
      <c r="AA581" s="44"/>
      <c r="AB581" s="42"/>
      <c r="AC581" s="47" t="s">
        <v>97</v>
      </c>
      <c r="AD581" s="48"/>
      <c r="AE581" s="43"/>
      <c r="AF581" s="43"/>
      <c r="AG581" s="43"/>
      <c r="AH581" s="43"/>
      <c r="AI581" s="55"/>
      <c r="AJ581" s="52"/>
      <c r="AT581" s="52"/>
      <c r="AU581" s="59"/>
      <c r="AV581" s="58"/>
      <c r="AW581" s="58"/>
      <c r="AX581" s="54" t="s">
        <v>69</v>
      </c>
      <c r="AY581" s="43" t="s">
        <v>70</v>
      </c>
      <c r="AZ581" s="43" t="s">
        <v>70</v>
      </c>
      <c r="BA581" s="43" t="s">
        <v>71</v>
      </c>
      <c r="BB581" s="43" t="s">
        <v>69</v>
      </c>
      <c r="BC581" s="51">
        <v>31</v>
      </c>
      <c r="BD581" s="43" t="s">
        <v>70</v>
      </c>
      <c r="BE581" s="9">
        <f t="shared" si="21"/>
        <v>572</v>
      </c>
      <c r="BF581" s="9" t="str">
        <f t="shared" si="20"/>
        <v>..</v>
      </c>
    </row>
    <row r="582" spans="13:58" ht="18" customHeight="1">
      <c r="M582" s="61" t="s">
        <v>93</v>
      </c>
      <c r="N582" s="44"/>
      <c r="O582" s="44"/>
      <c r="P582" s="44"/>
      <c r="Q582" s="45"/>
      <c r="R582" s="46"/>
      <c r="S582" s="46"/>
      <c r="T582" s="46"/>
      <c r="U582" s="44" t="s">
        <v>96</v>
      </c>
      <c r="V582" s="46"/>
      <c r="W582" s="44"/>
      <c r="X582" s="44"/>
      <c r="Y582" s="44"/>
      <c r="Z582" s="44"/>
      <c r="AA582" s="44"/>
      <c r="AB582" s="42"/>
      <c r="AC582" s="47" t="s">
        <v>97</v>
      </c>
      <c r="AD582" s="48"/>
      <c r="AE582" s="43"/>
      <c r="AF582" s="43"/>
      <c r="AG582" s="43"/>
      <c r="AH582" s="43"/>
      <c r="AI582" s="55"/>
      <c r="AJ582" s="52"/>
      <c r="AT582" s="52"/>
      <c r="AU582" s="59"/>
      <c r="AV582" s="58"/>
      <c r="AW582" s="58"/>
      <c r="AX582" s="54" t="s">
        <v>69</v>
      </c>
      <c r="AY582" s="43" t="s">
        <v>70</v>
      </c>
      <c r="AZ582" s="43" t="s">
        <v>70</v>
      </c>
      <c r="BA582" s="43" t="s">
        <v>71</v>
      </c>
      <c r="BB582" s="43" t="s">
        <v>69</v>
      </c>
      <c r="BC582" s="51">
        <v>31</v>
      </c>
      <c r="BD582" s="43" t="s">
        <v>70</v>
      </c>
      <c r="BE582" s="9">
        <f t="shared" si="21"/>
        <v>573</v>
      </c>
      <c r="BF582" s="9" t="str">
        <f t="shared" si="20"/>
        <v>..</v>
      </c>
    </row>
    <row r="583" spans="13:58" ht="18" customHeight="1">
      <c r="M583" s="61" t="s">
        <v>93</v>
      </c>
      <c r="N583" s="44"/>
      <c r="O583" s="44"/>
      <c r="P583" s="44"/>
      <c r="Q583" s="45"/>
      <c r="R583" s="46"/>
      <c r="S583" s="46"/>
      <c r="T583" s="46"/>
      <c r="U583" s="44" t="s">
        <v>96</v>
      </c>
      <c r="V583" s="46"/>
      <c r="W583" s="44"/>
      <c r="X583" s="44"/>
      <c r="Y583" s="44"/>
      <c r="Z583" s="44"/>
      <c r="AA583" s="44"/>
      <c r="AB583" s="42"/>
      <c r="AC583" s="47" t="s">
        <v>97</v>
      </c>
      <c r="AD583" s="48"/>
      <c r="AE583" s="43"/>
      <c r="AF583" s="43"/>
      <c r="AG583" s="43"/>
      <c r="AH583" s="43"/>
      <c r="AI583" s="55"/>
      <c r="AJ583" s="52"/>
      <c r="AT583" s="52"/>
      <c r="AU583" s="59"/>
      <c r="AV583" s="58"/>
      <c r="AW583" s="58"/>
      <c r="AX583" s="54" t="s">
        <v>69</v>
      </c>
      <c r="AY583" s="43" t="s">
        <v>70</v>
      </c>
      <c r="AZ583" s="43" t="s">
        <v>70</v>
      </c>
      <c r="BA583" s="43" t="s">
        <v>71</v>
      </c>
      <c r="BB583" s="43" t="s">
        <v>69</v>
      </c>
      <c r="BC583" s="51">
        <v>31</v>
      </c>
      <c r="BD583" s="43" t="s">
        <v>70</v>
      </c>
      <c r="BE583" s="9">
        <f t="shared" si="21"/>
        <v>574</v>
      </c>
      <c r="BF583" s="9" t="str">
        <f t="shared" ref="BF583:BF597" si="22">CONCATENATE(AB583,".",AD583,".",AJ583)</f>
        <v>..</v>
      </c>
    </row>
    <row r="584" spans="13:58" ht="18" customHeight="1">
      <c r="M584" s="61" t="s">
        <v>93</v>
      </c>
      <c r="N584" s="44"/>
      <c r="O584" s="44"/>
      <c r="P584" s="44"/>
      <c r="Q584" s="45"/>
      <c r="R584" s="46"/>
      <c r="S584" s="46"/>
      <c r="T584" s="46"/>
      <c r="U584" s="44" t="s">
        <v>96</v>
      </c>
      <c r="V584" s="46"/>
      <c r="W584" s="44"/>
      <c r="X584" s="44"/>
      <c r="Y584" s="44"/>
      <c r="Z584" s="44"/>
      <c r="AA584" s="44"/>
      <c r="AB584" s="42"/>
      <c r="AC584" s="47" t="s">
        <v>97</v>
      </c>
      <c r="AD584" s="48"/>
      <c r="AE584" s="43"/>
      <c r="AF584" s="43"/>
      <c r="AG584" s="43"/>
      <c r="AH584" s="43"/>
      <c r="AI584" s="55"/>
      <c r="AJ584" s="52"/>
      <c r="AT584" s="52"/>
      <c r="AU584" s="59"/>
      <c r="AV584" s="58"/>
      <c r="AW584" s="58"/>
      <c r="AX584" s="54" t="s">
        <v>69</v>
      </c>
      <c r="AY584" s="43" t="s">
        <v>70</v>
      </c>
      <c r="AZ584" s="43" t="s">
        <v>70</v>
      </c>
      <c r="BA584" s="43" t="s">
        <v>71</v>
      </c>
      <c r="BB584" s="43" t="s">
        <v>69</v>
      </c>
      <c r="BC584" s="51">
        <v>31</v>
      </c>
      <c r="BD584" s="43" t="s">
        <v>70</v>
      </c>
      <c r="BE584" s="9">
        <f t="shared" si="21"/>
        <v>575</v>
      </c>
      <c r="BF584" s="9" t="str">
        <f t="shared" si="22"/>
        <v>..</v>
      </c>
    </row>
    <row r="585" spans="13:58" ht="18" customHeight="1">
      <c r="M585" s="61" t="s">
        <v>93</v>
      </c>
      <c r="N585" s="44"/>
      <c r="O585" s="44"/>
      <c r="P585" s="44"/>
      <c r="Q585" s="45"/>
      <c r="R585" s="46"/>
      <c r="S585" s="46"/>
      <c r="T585" s="46"/>
      <c r="U585" s="44" t="s">
        <v>96</v>
      </c>
      <c r="V585" s="46"/>
      <c r="W585" s="44"/>
      <c r="X585" s="44"/>
      <c r="Y585" s="44"/>
      <c r="Z585" s="44"/>
      <c r="AA585" s="44"/>
      <c r="AB585" s="42"/>
      <c r="AC585" s="47" t="s">
        <v>97</v>
      </c>
      <c r="AD585" s="48"/>
      <c r="AE585" s="43"/>
      <c r="AF585" s="43"/>
      <c r="AG585" s="43"/>
      <c r="AH585" s="43"/>
      <c r="AI585" s="55"/>
      <c r="AJ585" s="52"/>
      <c r="AT585" s="52"/>
      <c r="AU585" s="59"/>
      <c r="AV585" s="58"/>
      <c r="AW585" s="58"/>
      <c r="AX585" s="54" t="s">
        <v>69</v>
      </c>
      <c r="AY585" s="43" t="s">
        <v>70</v>
      </c>
      <c r="AZ585" s="43" t="s">
        <v>70</v>
      </c>
      <c r="BA585" s="43" t="s">
        <v>71</v>
      </c>
      <c r="BB585" s="43" t="s">
        <v>69</v>
      </c>
      <c r="BC585" s="51">
        <v>31</v>
      </c>
      <c r="BD585" s="43" t="s">
        <v>70</v>
      </c>
      <c r="BE585" s="9">
        <f t="shared" si="21"/>
        <v>576</v>
      </c>
      <c r="BF585" s="9" t="str">
        <f t="shared" si="22"/>
        <v>..</v>
      </c>
    </row>
    <row r="586" spans="13:58" ht="18" customHeight="1">
      <c r="M586" s="61" t="s">
        <v>93</v>
      </c>
      <c r="N586" s="44"/>
      <c r="O586" s="44"/>
      <c r="P586" s="44"/>
      <c r="Q586" s="45"/>
      <c r="R586" s="46"/>
      <c r="S586" s="46"/>
      <c r="T586" s="46"/>
      <c r="U586" s="44" t="s">
        <v>96</v>
      </c>
      <c r="V586" s="46"/>
      <c r="W586" s="44"/>
      <c r="X586" s="44"/>
      <c r="Y586" s="44"/>
      <c r="Z586" s="44"/>
      <c r="AA586" s="44"/>
      <c r="AB586" s="42"/>
      <c r="AC586" s="47" t="s">
        <v>97</v>
      </c>
      <c r="AD586" s="48"/>
      <c r="AE586" s="43"/>
      <c r="AF586" s="43"/>
      <c r="AG586" s="43"/>
      <c r="AH586" s="43"/>
      <c r="AI586" s="55"/>
      <c r="AJ586" s="52"/>
      <c r="AT586" s="52"/>
      <c r="AU586" s="59"/>
      <c r="AV586" s="58"/>
      <c r="AW586" s="58"/>
      <c r="AX586" s="54" t="s">
        <v>69</v>
      </c>
      <c r="AY586" s="43" t="s">
        <v>70</v>
      </c>
      <c r="AZ586" s="43" t="s">
        <v>70</v>
      </c>
      <c r="BA586" s="43" t="s">
        <v>71</v>
      </c>
      <c r="BB586" s="43" t="s">
        <v>69</v>
      </c>
      <c r="BC586" s="51">
        <v>31</v>
      </c>
      <c r="BD586" s="43" t="s">
        <v>70</v>
      </c>
      <c r="BE586" s="9">
        <f t="shared" si="21"/>
        <v>577</v>
      </c>
      <c r="BF586" s="9" t="str">
        <f t="shared" si="22"/>
        <v>..</v>
      </c>
    </row>
    <row r="587" spans="13:58" ht="18" customHeight="1">
      <c r="M587" s="61" t="s">
        <v>93</v>
      </c>
      <c r="N587" s="44"/>
      <c r="O587" s="44"/>
      <c r="P587" s="44"/>
      <c r="Q587" s="45"/>
      <c r="R587" s="46"/>
      <c r="S587" s="46"/>
      <c r="T587" s="46"/>
      <c r="U587" s="44" t="s">
        <v>96</v>
      </c>
      <c r="V587" s="46"/>
      <c r="W587" s="44"/>
      <c r="X587" s="44"/>
      <c r="Y587" s="44"/>
      <c r="Z587" s="44"/>
      <c r="AA587" s="44"/>
      <c r="AB587" s="42"/>
      <c r="AC587" s="47" t="s">
        <v>97</v>
      </c>
      <c r="AD587" s="48"/>
      <c r="AE587" s="43"/>
      <c r="AF587" s="43"/>
      <c r="AG587" s="43"/>
      <c r="AH587" s="43"/>
      <c r="AI587" s="55"/>
      <c r="AJ587" s="52"/>
      <c r="AT587" s="52"/>
      <c r="AU587" s="59"/>
      <c r="AV587" s="58"/>
      <c r="AW587" s="58"/>
      <c r="AX587" s="54" t="s">
        <v>69</v>
      </c>
      <c r="AY587" s="43" t="s">
        <v>70</v>
      </c>
      <c r="AZ587" s="43" t="s">
        <v>70</v>
      </c>
      <c r="BA587" s="43" t="s">
        <v>71</v>
      </c>
      <c r="BB587" s="43" t="s">
        <v>69</v>
      </c>
      <c r="BC587" s="51">
        <v>31</v>
      </c>
      <c r="BD587" s="43" t="s">
        <v>70</v>
      </c>
      <c r="BE587" s="9">
        <f t="shared" si="21"/>
        <v>578</v>
      </c>
      <c r="BF587" s="9" t="str">
        <f t="shared" si="22"/>
        <v>..</v>
      </c>
    </row>
    <row r="588" spans="13:58" ht="18" customHeight="1">
      <c r="M588" s="61" t="s">
        <v>93</v>
      </c>
      <c r="N588" s="44"/>
      <c r="O588" s="44"/>
      <c r="P588" s="44"/>
      <c r="Q588" s="45"/>
      <c r="R588" s="46"/>
      <c r="S588" s="46"/>
      <c r="T588" s="46"/>
      <c r="U588" s="44" t="s">
        <v>96</v>
      </c>
      <c r="V588" s="46"/>
      <c r="W588" s="44"/>
      <c r="X588" s="44"/>
      <c r="Y588" s="44"/>
      <c r="Z588" s="44"/>
      <c r="AA588" s="44"/>
      <c r="AB588" s="42"/>
      <c r="AC588" s="47" t="s">
        <v>97</v>
      </c>
      <c r="AD588" s="48"/>
      <c r="AE588" s="43"/>
      <c r="AF588" s="43"/>
      <c r="AG588" s="43"/>
      <c r="AH588" s="43"/>
      <c r="AI588" s="55"/>
      <c r="AJ588" s="52"/>
      <c r="AT588" s="52"/>
      <c r="AU588" s="59"/>
      <c r="AV588" s="58"/>
      <c r="AW588" s="58"/>
      <c r="AX588" s="54" t="s">
        <v>69</v>
      </c>
      <c r="AY588" s="43" t="s">
        <v>70</v>
      </c>
      <c r="AZ588" s="43" t="s">
        <v>70</v>
      </c>
      <c r="BA588" s="43" t="s">
        <v>71</v>
      </c>
      <c r="BB588" s="43" t="s">
        <v>69</v>
      </c>
      <c r="BC588" s="51">
        <v>31</v>
      </c>
      <c r="BD588" s="43" t="s">
        <v>70</v>
      </c>
      <c r="BE588" s="9">
        <f t="shared" si="21"/>
        <v>579</v>
      </c>
      <c r="BF588" s="9" t="str">
        <f t="shared" si="22"/>
        <v>..</v>
      </c>
    </row>
    <row r="589" spans="13:58" ht="18" customHeight="1">
      <c r="M589" s="61" t="s">
        <v>93</v>
      </c>
      <c r="N589" s="44"/>
      <c r="O589" s="44"/>
      <c r="P589" s="44"/>
      <c r="Q589" s="45"/>
      <c r="R589" s="46"/>
      <c r="S589" s="46"/>
      <c r="T589" s="46"/>
      <c r="U589" s="44" t="s">
        <v>96</v>
      </c>
      <c r="V589" s="46"/>
      <c r="W589" s="44"/>
      <c r="X589" s="44"/>
      <c r="Y589" s="44"/>
      <c r="Z589" s="44"/>
      <c r="AA589" s="44"/>
      <c r="AB589" s="42"/>
      <c r="AC589" s="47" t="s">
        <v>97</v>
      </c>
      <c r="AD589" s="48"/>
      <c r="AE589" s="43"/>
      <c r="AF589" s="43"/>
      <c r="AG589" s="43"/>
      <c r="AH589" s="43"/>
      <c r="AI589" s="55"/>
      <c r="AJ589" s="52"/>
      <c r="AT589" s="52"/>
      <c r="AU589" s="59"/>
      <c r="AV589" s="58"/>
      <c r="AW589" s="58"/>
      <c r="AX589" s="54" t="s">
        <v>69</v>
      </c>
      <c r="AY589" s="43" t="s">
        <v>70</v>
      </c>
      <c r="AZ589" s="43" t="s">
        <v>70</v>
      </c>
      <c r="BA589" s="43" t="s">
        <v>71</v>
      </c>
      <c r="BB589" s="43" t="s">
        <v>69</v>
      </c>
      <c r="BC589" s="51">
        <v>31</v>
      </c>
      <c r="BD589" s="43" t="s">
        <v>70</v>
      </c>
      <c r="BE589" s="9">
        <f t="shared" si="21"/>
        <v>580</v>
      </c>
      <c r="BF589" s="9" t="str">
        <f t="shared" si="22"/>
        <v>..</v>
      </c>
    </row>
    <row r="590" spans="13:58" ht="18" customHeight="1">
      <c r="M590" s="61" t="s">
        <v>93</v>
      </c>
      <c r="N590" s="44"/>
      <c r="O590" s="44"/>
      <c r="P590" s="44"/>
      <c r="Q590" s="45"/>
      <c r="R590" s="46"/>
      <c r="S590" s="46"/>
      <c r="T590" s="46"/>
      <c r="U590" s="44" t="s">
        <v>96</v>
      </c>
      <c r="V590" s="46"/>
      <c r="W590" s="44"/>
      <c r="X590" s="44"/>
      <c r="Y590" s="44"/>
      <c r="Z590" s="44"/>
      <c r="AA590" s="44"/>
      <c r="AB590" s="42"/>
      <c r="AC590" s="47" t="s">
        <v>97</v>
      </c>
      <c r="AD590" s="48"/>
      <c r="AE590" s="43"/>
      <c r="AF590" s="43"/>
      <c r="AG590" s="43"/>
      <c r="AH590" s="43"/>
      <c r="AI590" s="55"/>
      <c r="AJ590" s="52"/>
      <c r="AT590" s="52"/>
      <c r="AU590" s="59"/>
      <c r="AV590" s="58"/>
      <c r="AW590" s="58"/>
      <c r="AX590" s="54" t="s">
        <v>69</v>
      </c>
      <c r="AY590" s="43" t="s">
        <v>70</v>
      </c>
      <c r="AZ590" s="43" t="s">
        <v>70</v>
      </c>
      <c r="BA590" s="43" t="s">
        <v>71</v>
      </c>
      <c r="BB590" s="43" t="s">
        <v>69</v>
      </c>
      <c r="BC590" s="51">
        <v>31</v>
      </c>
      <c r="BD590" s="43" t="s">
        <v>70</v>
      </c>
      <c r="BE590" s="9">
        <f t="shared" si="21"/>
        <v>581</v>
      </c>
      <c r="BF590" s="9" t="str">
        <f t="shared" si="22"/>
        <v>..</v>
      </c>
    </row>
    <row r="591" spans="13:58" ht="18" customHeight="1">
      <c r="M591" s="61" t="s">
        <v>93</v>
      </c>
      <c r="N591" s="44"/>
      <c r="O591" s="44"/>
      <c r="P591" s="44"/>
      <c r="Q591" s="45"/>
      <c r="R591" s="46"/>
      <c r="S591" s="46"/>
      <c r="T591" s="46"/>
      <c r="U591" s="44" t="s">
        <v>96</v>
      </c>
      <c r="V591" s="46"/>
      <c r="W591" s="44"/>
      <c r="X591" s="44"/>
      <c r="Y591" s="44"/>
      <c r="Z591" s="44"/>
      <c r="AA591" s="44"/>
      <c r="AB591" s="42"/>
      <c r="AC591" s="47" t="s">
        <v>97</v>
      </c>
      <c r="AD591" s="48"/>
      <c r="AE591" s="43"/>
      <c r="AF591" s="43"/>
      <c r="AG591" s="43"/>
      <c r="AH591" s="43"/>
      <c r="AI591" s="55"/>
      <c r="AJ591" s="52"/>
      <c r="AT591" s="52"/>
      <c r="AU591" s="59"/>
      <c r="AV591" s="58"/>
      <c r="AW591" s="58"/>
      <c r="AX591" s="54" t="s">
        <v>69</v>
      </c>
      <c r="AY591" s="43" t="s">
        <v>70</v>
      </c>
      <c r="AZ591" s="43" t="s">
        <v>70</v>
      </c>
      <c r="BA591" s="43" t="s">
        <v>71</v>
      </c>
      <c r="BB591" s="43" t="s">
        <v>69</v>
      </c>
      <c r="BC591" s="51">
        <v>31</v>
      </c>
      <c r="BD591" s="43" t="s">
        <v>70</v>
      </c>
      <c r="BE591" s="9">
        <f t="shared" si="21"/>
        <v>582</v>
      </c>
      <c r="BF591" s="9" t="str">
        <f t="shared" si="22"/>
        <v>..</v>
      </c>
    </row>
    <row r="592" spans="13:58" ht="18" customHeight="1">
      <c r="M592" s="61" t="s">
        <v>93</v>
      </c>
      <c r="N592" s="44"/>
      <c r="O592" s="44"/>
      <c r="P592" s="44"/>
      <c r="Q592" s="45"/>
      <c r="R592" s="46"/>
      <c r="S592" s="46"/>
      <c r="T592" s="46"/>
      <c r="U592" s="44" t="s">
        <v>96</v>
      </c>
      <c r="V592" s="46"/>
      <c r="W592" s="44"/>
      <c r="X592" s="44"/>
      <c r="Y592" s="44"/>
      <c r="Z592" s="44"/>
      <c r="AA592" s="44"/>
      <c r="AB592" s="42"/>
      <c r="AC592" s="47" t="s">
        <v>97</v>
      </c>
      <c r="AD592" s="48"/>
      <c r="AE592" s="43"/>
      <c r="AF592" s="43"/>
      <c r="AG592" s="43"/>
      <c r="AH592" s="43"/>
      <c r="AI592" s="55"/>
      <c r="AJ592" s="52"/>
      <c r="AT592" s="52"/>
      <c r="AU592" s="59"/>
      <c r="AV592" s="58"/>
      <c r="AW592" s="58"/>
      <c r="AX592" s="54" t="s">
        <v>69</v>
      </c>
      <c r="AY592" s="43" t="s">
        <v>70</v>
      </c>
      <c r="AZ592" s="43" t="s">
        <v>70</v>
      </c>
      <c r="BA592" s="43" t="s">
        <v>71</v>
      </c>
      <c r="BB592" s="43" t="s">
        <v>69</v>
      </c>
      <c r="BC592" s="51">
        <v>31</v>
      </c>
      <c r="BD592" s="43" t="s">
        <v>70</v>
      </c>
      <c r="BE592" s="9">
        <f t="shared" ref="BE592:BE611" si="23">ROW()-ROW($BE$9)</f>
        <v>583</v>
      </c>
      <c r="BF592" s="9" t="str">
        <f t="shared" si="22"/>
        <v>..</v>
      </c>
    </row>
    <row r="593" spans="13:58" ht="18" customHeight="1">
      <c r="M593" s="61" t="s">
        <v>93</v>
      </c>
      <c r="N593" s="44"/>
      <c r="O593" s="44"/>
      <c r="P593" s="44"/>
      <c r="Q593" s="45"/>
      <c r="R593" s="46"/>
      <c r="S593" s="46"/>
      <c r="T593" s="46"/>
      <c r="U593" s="44" t="s">
        <v>96</v>
      </c>
      <c r="V593" s="46"/>
      <c r="W593" s="44"/>
      <c r="X593" s="44"/>
      <c r="Y593" s="44"/>
      <c r="Z593" s="44"/>
      <c r="AA593" s="44"/>
      <c r="AB593" s="42"/>
      <c r="AC593" s="47" t="s">
        <v>97</v>
      </c>
      <c r="AD593" s="48"/>
      <c r="AE593" s="43"/>
      <c r="AF593" s="43"/>
      <c r="AG593" s="43"/>
      <c r="AH593" s="43"/>
      <c r="AI593" s="55"/>
      <c r="AJ593" s="52"/>
      <c r="AT593" s="52"/>
      <c r="AU593" s="59"/>
      <c r="AV593" s="58"/>
      <c r="AW593" s="58"/>
      <c r="AX593" s="54" t="s">
        <v>69</v>
      </c>
      <c r="AY593" s="43" t="s">
        <v>70</v>
      </c>
      <c r="AZ593" s="43" t="s">
        <v>70</v>
      </c>
      <c r="BA593" s="43" t="s">
        <v>71</v>
      </c>
      <c r="BB593" s="43" t="s">
        <v>69</v>
      </c>
      <c r="BC593" s="51">
        <v>31</v>
      </c>
      <c r="BD593" s="43" t="s">
        <v>70</v>
      </c>
      <c r="BE593" s="9">
        <f t="shared" si="23"/>
        <v>584</v>
      </c>
      <c r="BF593" s="9" t="str">
        <f t="shared" si="22"/>
        <v>..</v>
      </c>
    </row>
    <row r="594" spans="13:58" ht="18" customHeight="1">
      <c r="M594" s="61" t="s">
        <v>93</v>
      </c>
      <c r="N594" s="44"/>
      <c r="O594" s="44"/>
      <c r="P594" s="44"/>
      <c r="Q594" s="45"/>
      <c r="R594" s="46"/>
      <c r="S594" s="46"/>
      <c r="T594" s="46"/>
      <c r="U594" s="44" t="s">
        <v>96</v>
      </c>
      <c r="V594" s="46"/>
      <c r="W594" s="44"/>
      <c r="X594" s="44"/>
      <c r="Y594" s="44"/>
      <c r="Z594" s="44"/>
      <c r="AA594" s="44"/>
      <c r="AB594" s="42"/>
      <c r="AC594" s="47" t="s">
        <v>97</v>
      </c>
      <c r="AD594" s="48"/>
      <c r="AE594" s="43"/>
      <c r="AF594" s="43"/>
      <c r="AG594" s="43"/>
      <c r="AH594" s="43"/>
      <c r="AI594" s="55"/>
      <c r="AJ594" s="52"/>
      <c r="AT594" s="52"/>
      <c r="AU594" s="59"/>
      <c r="AV594" s="58"/>
      <c r="AW594" s="58"/>
      <c r="AX594" s="54" t="s">
        <v>69</v>
      </c>
      <c r="AY594" s="43" t="s">
        <v>70</v>
      </c>
      <c r="AZ594" s="43" t="s">
        <v>70</v>
      </c>
      <c r="BA594" s="43" t="s">
        <v>71</v>
      </c>
      <c r="BB594" s="43" t="s">
        <v>69</v>
      </c>
      <c r="BC594" s="51">
        <v>31</v>
      </c>
      <c r="BD594" s="43" t="s">
        <v>70</v>
      </c>
      <c r="BE594" s="9">
        <f t="shared" si="23"/>
        <v>585</v>
      </c>
      <c r="BF594" s="9" t="str">
        <f t="shared" si="22"/>
        <v>..</v>
      </c>
    </row>
    <row r="595" spans="13:58" ht="18" customHeight="1">
      <c r="M595" s="61" t="s">
        <v>93</v>
      </c>
      <c r="N595" s="44"/>
      <c r="O595" s="44"/>
      <c r="P595" s="44"/>
      <c r="Q595" s="45"/>
      <c r="R595" s="46"/>
      <c r="S595" s="46"/>
      <c r="T595" s="46"/>
      <c r="U595" s="44" t="s">
        <v>96</v>
      </c>
      <c r="V595" s="46"/>
      <c r="W595" s="44"/>
      <c r="X595" s="44"/>
      <c r="Y595" s="44"/>
      <c r="Z595" s="44"/>
      <c r="AA595" s="44"/>
      <c r="AB595" s="42"/>
      <c r="AC595" s="47" t="s">
        <v>97</v>
      </c>
      <c r="AD595" s="48"/>
      <c r="AE595" s="43"/>
      <c r="AF595" s="43"/>
      <c r="AG595" s="43"/>
      <c r="AH595" s="43"/>
      <c r="AI595" s="55"/>
      <c r="AJ595" s="52"/>
      <c r="AT595" s="52"/>
      <c r="AU595" s="59"/>
      <c r="AV595" s="58"/>
      <c r="AW595" s="58"/>
      <c r="AX595" s="54" t="s">
        <v>69</v>
      </c>
      <c r="AY595" s="43" t="s">
        <v>70</v>
      </c>
      <c r="AZ595" s="43" t="s">
        <v>70</v>
      </c>
      <c r="BA595" s="43" t="s">
        <v>71</v>
      </c>
      <c r="BB595" s="43" t="s">
        <v>69</v>
      </c>
      <c r="BC595" s="51">
        <v>31</v>
      </c>
      <c r="BD595" s="43" t="s">
        <v>70</v>
      </c>
      <c r="BE595" s="9">
        <f t="shared" si="23"/>
        <v>586</v>
      </c>
      <c r="BF595" s="9" t="str">
        <f t="shared" si="22"/>
        <v>..</v>
      </c>
    </row>
    <row r="596" spans="13:58" ht="18" customHeight="1">
      <c r="M596" s="61" t="s">
        <v>93</v>
      </c>
      <c r="N596" s="44"/>
      <c r="O596" s="44"/>
      <c r="P596" s="44"/>
      <c r="Q596" s="45"/>
      <c r="R596" s="46"/>
      <c r="S596" s="46"/>
      <c r="T596" s="46"/>
      <c r="U596" s="44" t="s">
        <v>96</v>
      </c>
      <c r="V596" s="46"/>
      <c r="W596" s="44"/>
      <c r="X596" s="44"/>
      <c r="Y596" s="44"/>
      <c r="Z596" s="44"/>
      <c r="AA596" s="44"/>
      <c r="AB596" s="42"/>
      <c r="AC596" s="47" t="s">
        <v>97</v>
      </c>
      <c r="AD596" s="48"/>
      <c r="AE596" s="43"/>
      <c r="AF596" s="43"/>
      <c r="AG596" s="43"/>
      <c r="AH596" s="43"/>
      <c r="AI596" s="55"/>
      <c r="AJ596" s="52"/>
      <c r="AT596" s="52"/>
      <c r="AU596" s="59"/>
      <c r="AV596" s="58"/>
      <c r="AW596" s="58"/>
      <c r="AX596" s="54" t="s">
        <v>69</v>
      </c>
      <c r="AY596" s="43" t="s">
        <v>70</v>
      </c>
      <c r="AZ596" s="43" t="s">
        <v>70</v>
      </c>
      <c r="BA596" s="43" t="s">
        <v>71</v>
      </c>
      <c r="BB596" s="43" t="s">
        <v>69</v>
      </c>
      <c r="BC596" s="51">
        <v>31</v>
      </c>
      <c r="BD596" s="43" t="s">
        <v>70</v>
      </c>
      <c r="BE596" s="9">
        <f t="shared" si="23"/>
        <v>587</v>
      </c>
      <c r="BF596" s="9" t="str">
        <f t="shared" si="22"/>
        <v>..</v>
      </c>
    </row>
    <row r="597" spans="13:58" ht="18" customHeight="1">
      <c r="M597" s="61" t="s">
        <v>93</v>
      </c>
      <c r="N597" s="44"/>
      <c r="O597" s="44"/>
      <c r="P597" s="44"/>
      <c r="Q597" s="45"/>
      <c r="R597" s="46"/>
      <c r="S597" s="46"/>
      <c r="T597" s="46"/>
      <c r="U597" s="44" t="s">
        <v>96</v>
      </c>
      <c r="V597" s="46"/>
      <c r="W597" s="44"/>
      <c r="X597" s="44"/>
      <c r="Y597" s="44"/>
      <c r="Z597" s="44"/>
      <c r="AA597" s="44"/>
      <c r="AB597" s="42"/>
      <c r="AC597" s="47" t="s">
        <v>97</v>
      </c>
      <c r="AD597" s="48"/>
      <c r="AE597" s="43"/>
      <c r="AF597" s="43"/>
      <c r="AG597" s="43"/>
      <c r="AH597" s="43"/>
      <c r="AI597" s="55"/>
      <c r="AJ597" s="52"/>
      <c r="AT597" s="52"/>
      <c r="AU597" s="59"/>
      <c r="AV597" s="58"/>
      <c r="AW597" s="58"/>
      <c r="AX597" s="54" t="s">
        <v>69</v>
      </c>
      <c r="AY597" s="43" t="s">
        <v>70</v>
      </c>
      <c r="AZ597" s="43" t="s">
        <v>70</v>
      </c>
      <c r="BA597" s="43" t="s">
        <v>71</v>
      </c>
      <c r="BB597" s="43" t="s">
        <v>69</v>
      </c>
      <c r="BC597" s="51">
        <v>31</v>
      </c>
      <c r="BD597" s="43" t="s">
        <v>70</v>
      </c>
      <c r="BE597" s="9">
        <f t="shared" si="23"/>
        <v>588</v>
      </c>
      <c r="BF597" s="9" t="str">
        <f t="shared" si="22"/>
        <v>..</v>
      </c>
    </row>
    <row r="598" spans="13:58" ht="18" customHeight="1">
      <c r="M598" s="61" t="s">
        <v>93</v>
      </c>
      <c r="N598" s="44"/>
      <c r="O598" s="44"/>
      <c r="P598" s="44"/>
      <c r="Q598" s="45"/>
      <c r="R598" s="46"/>
      <c r="S598" s="46"/>
      <c r="T598" s="46"/>
      <c r="U598" s="44" t="s">
        <v>96</v>
      </c>
      <c r="V598" s="46"/>
      <c r="W598" s="44"/>
      <c r="X598" s="44"/>
      <c r="Y598" s="44"/>
      <c r="Z598" s="44"/>
      <c r="AA598" s="44"/>
      <c r="AB598" s="42"/>
      <c r="AC598" s="47" t="s">
        <v>97</v>
      </c>
      <c r="AD598" s="48"/>
      <c r="AE598" s="43"/>
      <c r="AF598" s="43"/>
      <c r="AG598" s="43"/>
      <c r="AH598" s="43"/>
      <c r="AI598" s="55"/>
      <c r="AJ598" s="52"/>
      <c r="AT598" s="52"/>
      <c r="AU598" s="59"/>
      <c r="AV598" s="58"/>
      <c r="AW598" s="58"/>
      <c r="AX598" s="54" t="s">
        <v>69</v>
      </c>
      <c r="AY598" s="43" t="s">
        <v>70</v>
      </c>
      <c r="AZ598" s="43" t="s">
        <v>70</v>
      </c>
      <c r="BA598" s="43" t="s">
        <v>71</v>
      </c>
      <c r="BB598" s="43" t="s">
        <v>69</v>
      </c>
      <c r="BC598" s="51">
        <v>31</v>
      </c>
      <c r="BD598" s="43" t="s">
        <v>70</v>
      </c>
      <c r="BE598" s="9">
        <f t="shared" si="23"/>
        <v>589</v>
      </c>
      <c r="BF598" s="9" t="str">
        <f t="shared" ref="BF598:BF611" si="24">CONCATENATE(AB598,".",AD598,".",AJ598)</f>
        <v>..</v>
      </c>
    </row>
    <row r="599" spans="13:58" ht="18" customHeight="1">
      <c r="M599" s="61" t="s">
        <v>93</v>
      </c>
      <c r="N599" s="44"/>
      <c r="O599" s="44"/>
      <c r="P599" s="44"/>
      <c r="Q599" s="45"/>
      <c r="R599" s="46"/>
      <c r="S599" s="46"/>
      <c r="T599" s="46"/>
      <c r="U599" s="44" t="s">
        <v>96</v>
      </c>
      <c r="V599" s="46"/>
      <c r="W599" s="44"/>
      <c r="X599" s="44"/>
      <c r="Y599" s="44"/>
      <c r="Z599" s="44"/>
      <c r="AA599" s="44"/>
      <c r="AB599" s="42"/>
      <c r="AC599" s="47" t="s">
        <v>97</v>
      </c>
      <c r="AD599" s="48"/>
      <c r="AE599" s="43"/>
      <c r="AF599" s="43"/>
      <c r="AG599" s="43"/>
      <c r="AH599" s="43"/>
      <c r="AI599" s="55"/>
      <c r="AJ599" s="52"/>
      <c r="AT599" s="52"/>
      <c r="AU599" s="59"/>
      <c r="AV599" s="58"/>
      <c r="AW599" s="58"/>
      <c r="AX599" s="54" t="s">
        <v>69</v>
      </c>
      <c r="AY599" s="43" t="s">
        <v>70</v>
      </c>
      <c r="AZ599" s="43" t="s">
        <v>70</v>
      </c>
      <c r="BA599" s="43" t="s">
        <v>71</v>
      </c>
      <c r="BB599" s="43" t="s">
        <v>69</v>
      </c>
      <c r="BC599" s="51">
        <v>31</v>
      </c>
      <c r="BD599" s="43" t="s">
        <v>70</v>
      </c>
      <c r="BE599" s="9">
        <f t="shared" si="23"/>
        <v>590</v>
      </c>
      <c r="BF599" s="9" t="str">
        <f t="shared" si="24"/>
        <v>..</v>
      </c>
    </row>
    <row r="600" spans="13:58" ht="18" customHeight="1">
      <c r="M600" s="61" t="s">
        <v>93</v>
      </c>
      <c r="N600" s="44"/>
      <c r="O600" s="44"/>
      <c r="P600" s="44"/>
      <c r="Q600" s="45"/>
      <c r="R600" s="46"/>
      <c r="S600" s="46"/>
      <c r="T600" s="46"/>
      <c r="U600" s="44" t="s">
        <v>96</v>
      </c>
      <c r="V600" s="46"/>
      <c r="W600" s="44"/>
      <c r="X600" s="44"/>
      <c r="Y600" s="44"/>
      <c r="Z600" s="44"/>
      <c r="AA600" s="44"/>
      <c r="AB600" s="42"/>
      <c r="AC600" s="47" t="s">
        <v>97</v>
      </c>
      <c r="AD600" s="48"/>
      <c r="AE600" s="43"/>
      <c r="AF600" s="43"/>
      <c r="AG600" s="43"/>
      <c r="AH600" s="43"/>
      <c r="AI600" s="55"/>
      <c r="AJ600" s="52"/>
      <c r="AT600" s="52"/>
      <c r="AU600" s="59"/>
      <c r="AV600" s="58"/>
      <c r="AW600" s="58"/>
      <c r="AX600" s="54" t="s">
        <v>69</v>
      </c>
      <c r="AY600" s="43" t="s">
        <v>70</v>
      </c>
      <c r="AZ600" s="43" t="s">
        <v>70</v>
      </c>
      <c r="BA600" s="43" t="s">
        <v>71</v>
      </c>
      <c r="BB600" s="43" t="s">
        <v>69</v>
      </c>
      <c r="BC600" s="51">
        <v>31</v>
      </c>
      <c r="BD600" s="43" t="s">
        <v>70</v>
      </c>
      <c r="BE600" s="9">
        <f t="shared" si="23"/>
        <v>591</v>
      </c>
      <c r="BF600" s="9" t="str">
        <f t="shared" si="24"/>
        <v>..</v>
      </c>
    </row>
    <row r="601" spans="13:58" ht="18" customHeight="1">
      <c r="M601" s="61" t="s">
        <v>93</v>
      </c>
      <c r="N601" s="44"/>
      <c r="O601" s="44"/>
      <c r="P601" s="44"/>
      <c r="Q601" s="45"/>
      <c r="R601" s="46"/>
      <c r="S601" s="46"/>
      <c r="T601" s="46"/>
      <c r="U601" s="44" t="s">
        <v>96</v>
      </c>
      <c r="V601" s="46"/>
      <c r="W601" s="44"/>
      <c r="X601" s="44"/>
      <c r="Y601" s="44"/>
      <c r="Z601" s="44"/>
      <c r="AA601" s="44"/>
      <c r="AB601" s="42"/>
      <c r="AC601" s="47" t="s">
        <v>97</v>
      </c>
      <c r="AD601" s="48"/>
      <c r="AE601" s="43"/>
      <c r="AF601" s="43"/>
      <c r="AG601" s="43"/>
      <c r="AH601" s="43"/>
      <c r="AI601" s="55"/>
      <c r="AJ601" s="52"/>
      <c r="AT601" s="52"/>
      <c r="AU601" s="59"/>
      <c r="AV601" s="58"/>
      <c r="AW601" s="58"/>
      <c r="AX601" s="54" t="s">
        <v>69</v>
      </c>
      <c r="AY601" s="43" t="s">
        <v>70</v>
      </c>
      <c r="AZ601" s="43" t="s">
        <v>70</v>
      </c>
      <c r="BA601" s="43" t="s">
        <v>71</v>
      </c>
      <c r="BB601" s="43" t="s">
        <v>69</v>
      </c>
      <c r="BC601" s="51">
        <v>31</v>
      </c>
      <c r="BD601" s="43" t="s">
        <v>70</v>
      </c>
      <c r="BE601" s="9">
        <f t="shared" si="23"/>
        <v>592</v>
      </c>
      <c r="BF601" s="9" t="str">
        <f t="shared" si="24"/>
        <v>..</v>
      </c>
    </row>
    <row r="602" spans="13:58" ht="18" customHeight="1">
      <c r="M602" s="61" t="s">
        <v>93</v>
      </c>
      <c r="N602" s="44"/>
      <c r="O602" s="44"/>
      <c r="P602" s="44"/>
      <c r="Q602" s="45"/>
      <c r="R602" s="46"/>
      <c r="S602" s="46"/>
      <c r="T602" s="46"/>
      <c r="U602" s="44" t="s">
        <v>96</v>
      </c>
      <c r="V602" s="46"/>
      <c r="W602" s="44"/>
      <c r="X602" s="44"/>
      <c r="Y602" s="44"/>
      <c r="Z602" s="44"/>
      <c r="AA602" s="44"/>
      <c r="AB602" s="42"/>
      <c r="AC602" s="47" t="s">
        <v>97</v>
      </c>
      <c r="AD602" s="48"/>
      <c r="AE602" s="43"/>
      <c r="AF602" s="43"/>
      <c r="AG602" s="43"/>
      <c r="AH602" s="43"/>
      <c r="AI602" s="55"/>
      <c r="AJ602" s="52"/>
      <c r="AT602" s="52"/>
      <c r="AU602" s="59"/>
      <c r="AV602" s="58"/>
      <c r="AW602" s="58"/>
      <c r="AX602" s="54" t="s">
        <v>69</v>
      </c>
      <c r="AY602" s="43" t="s">
        <v>70</v>
      </c>
      <c r="AZ602" s="43" t="s">
        <v>70</v>
      </c>
      <c r="BA602" s="43" t="s">
        <v>71</v>
      </c>
      <c r="BB602" s="43" t="s">
        <v>69</v>
      </c>
      <c r="BC602" s="51">
        <v>31</v>
      </c>
      <c r="BD602" s="43" t="s">
        <v>70</v>
      </c>
      <c r="BE602" s="9">
        <f t="shared" si="23"/>
        <v>593</v>
      </c>
      <c r="BF602" s="9" t="str">
        <f t="shared" si="24"/>
        <v>..</v>
      </c>
    </row>
    <row r="603" spans="13:58" ht="18" customHeight="1">
      <c r="M603" s="61" t="s">
        <v>93</v>
      </c>
      <c r="N603" s="44"/>
      <c r="O603" s="44"/>
      <c r="P603" s="44"/>
      <c r="Q603" s="45"/>
      <c r="R603" s="46"/>
      <c r="S603" s="46"/>
      <c r="T603" s="46"/>
      <c r="U603" s="44" t="s">
        <v>96</v>
      </c>
      <c r="V603" s="46"/>
      <c r="W603" s="44"/>
      <c r="X603" s="44"/>
      <c r="Y603" s="44"/>
      <c r="Z603" s="44"/>
      <c r="AA603" s="44"/>
      <c r="AB603" s="42"/>
      <c r="AC603" s="47" t="s">
        <v>97</v>
      </c>
      <c r="AD603" s="48"/>
      <c r="AE603" s="43"/>
      <c r="AF603" s="43"/>
      <c r="AG603" s="43"/>
      <c r="AH603" s="43"/>
      <c r="AI603" s="55"/>
      <c r="AJ603" s="52"/>
      <c r="AT603" s="52"/>
      <c r="AU603" s="59"/>
      <c r="AV603" s="58"/>
      <c r="AW603" s="58"/>
      <c r="AX603" s="54" t="s">
        <v>69</v>
      </c>
      <c r="AY603" s="43" t="s">
        <v>70</v>
      </c>
      <c r="AZ603" s="43" t="s">
        <v>70</v>
      </c>
      <c r="BA603" s="43" t="s">
        <v>71</v>
      </c>
      <c r="BB603" s="43" t="s">
        <v>69</v>
      </c>
      <c r="BC603" s="51">
        <v>31</v>
      </c>
      <c r="BD603" s="43" t="s">
        <v>70</v>
      </c>
      <c r="BE603" s="9">
        <f t="shared" si="23"/>
        <v>594</v>
      </c>
      <c r="BF603" s="9" t="str">
        <f t="shared" si="24"/>
        <v>..</v>
      </c>
    </row>
    <row r="604" spans="13:58" ht="18" customHeight="1">
      <c r="M604" s="61" t="s">
        <v>93</v>
      </c>
      <c r="N604" s="44"/>
      <c r="O604" s="44"/>
      <c r="P604" s="44"/>
      <c r="Q604" s="45"/>
      <c r="R604" s="46"/>
      <c r="S604" s="46"/>
      <c r="T604" s="46"/>
      <c r="U604" s="44" t="s">
        <v>96</v>
      </c>
      <c r="V604" s="46"/>
      <c r="W604" s="44"/>
      <c r="X604" s="44"/>
      <c r="Y604" s="44"/>
      <c r="Z604" s="44"/>
      <c r="AA604" s="44"/>
      <c r="AB604" s="42"/>
      <c r="AC604" s="47" t="s">
        <v>97</v>
      </c>
      <c r="AD604" s="48"/>
      <c r="AE604" s="43"/>
      <c r="AF604" s="43"/>
      <c r="AG604" s="43"/>
      <c r="AH604" s="43"/>
      <c r="AI604" s="55"/>
      <c r="AJ604" s="52"/>
      <c r="AT604" s="52"/>
      <c r="AU604" s="59"/>
      <c r="AV604" s="58"/>
      <c r="AW604" s="58"/>
      <c r="AX604" s="54" t="s">
        <v>69</v>
      </c>
      <c r="AY604" s="43" t="s">
        <v>70</v>
      </c>
      <c r="AZ604" s="43" t="s">
        <v>70</v>
      </c>
      <c r="BA604" s="43" t="s">
        <v>71</v>
      </c>
      <c r="BB604" s="43" t="s">
        <v>69</v>
      </c>
      <c r="BC604" s="51">
        <v>31</v>
      </c>
      <c r="BD604" s="43" t="s">
        <v>70</v>
      </c>
      <c r="BE604" s="9">
        <f t="shared" si="23"/>
        <v>595</v>
      </c>
      <c r="BF604" s="9" t="str">
        <f t="shared" si="24"/>
        <v>..</v>
      </c>
    </row>
    <row r="605" spans="13:58" ht="18" customHeight="1">
      <c r="M605" s="61" t="s">
        <v>93</v>
      </c>
      <c r="N605" s="44"/>
      <c r="O605" s="44"/>
      <c r="P605" s="44"/>
      <c r="Q605" s="45"/>
      <c r="R605" s="46"/>
      <c r="S605" s="46"/>
      <c r="T605" s="46"/>
      <c r="U605" s="44" t="s">
        <v>96</v>
      </c>
      <c r="V605" s="46"/>
      <c r="W605" s="44"/>
      <c r="X605" s="44"/>
      <c r="Y605" s="44"/>
      <c r="Z605" s="44"/>
      <c r="AA605" s="44"/>
      <c r="AB605" s="42"/>
      <c r="AC605" s="47" t="s">
        <v>97</v>
      </c>
      <c r="AD605" s="48"/>
      <c r="AE605" s="43"/>
      <c r="AF605" s="43"/>
      <c r="AG605" s="43"/>
      <c r="AH605" s="43"/>
      <c r="AI605" s="55"/>
      <c r="AJ605" s="52"/>
      <c r="AT605" s="52"/>
      <c r="AU605" s="59"/>
      <c r="AV605" s="58"/>
      <c r="AW605" s="58"/>
      <c r="AX605" s="54" t="s">
        <v>69</v>
      </c>
      <c r="AY605" s="43" t="s">
        <v>70</v>
      </c>
      <c r="AZ605" s="43" t="s">
        <v>70</v>
      </c>
      <c r="BA605" s="43" t="s">
        <v>71</v>
      </c>
      <c r="BB605" s="43" t="s">
        <v>69</v>
      </c>
      <c r="BC605" s="51">
        <v>31</v>
      </c>
      <c r="BD605" s="43" t="s">
        <v>70</v>
      </c>
      <c r="BE605" s="9">
        <f t="shared" si="23"/>
        <v>596</v>
      </c>
      <c r="BF605" s="9" t="str">
        <f t="shared" si="24"/>
        <v>..</v>
      </c>
    </row>
    <row r="606" spans="13:58" ht="18" customHeight="1">
      <c r="M606" s="61" t="s">
        <v>93</v>
      </c>
      <c r="N606" s="44"/>
      <c r="O606" s="44"/>
      <c r="P606" s="44"/>
      <c r="Q606" s="45"/>
      <c r="R606" s="46"/>
      <c r="S606" s="46"/>
      <c r="T606" s="46"/>
      <c r="U606" s="44" t="s">
        <v>96</v>
      </c>
      <c r="V606" s="46"/>
      <c r="W606" s="44"/>
      <c r="X606" s="44"/>
      <c r="Y606" s="44"/>
      <c r="Z606" s="44"/>
      <c r="AA606" s="44"/>
      <c r="AB606" s="42"/>
      <c r="AC606" s="47" t="s">
        <v>97</v>
      </c>
      <c r="AD606" s="48"/>
      <c r="AE606" s="43"/>
      <c r="AF606" s="43"/>
      <c r="AG606" s="43"/>
      <c r="AH606" s="43"/>
      <c r="AI606" s="55"/>
      <c r="AJ606" s="52"/>
      <c r="AT606" s="52"/>
      <c r="AU606" s="59"/>
      <c r="AV606" s="58"/>
      <c r="AW606" s="58"/>
      <c r="AX606" s="54" t="s">
        <v>69</v>
      </c>
      <c r="AY606" s="43" t="s">
        <v>70</v>
      </c>
      <c r="AZ606" s="43" t="s">
        <v>70</v>
      </c>
      <c r="BA606" s="43" t="s">
        <v>71</v>
      </c>
      <c r="BB606" s="43" t="s">
        <v>69</v>
      </c>
      <c r="BC606" s="51">
        <v>31</v>
      </c>
      <c r="BD606" s="43" t="s">
        <v>70</v>
      </c>
      <c r="BE606" s="9">
        <f t="shared" si="23"/>
        <v>597</v>
      </c>
      <c r="BF606" s="9" t="str">
        <f t="shared" si="24"/>
        <v>..</v>
      </c>
    </row>
    <row r="607" spans="13:58" ht="18" customHeight="1">
      <c r="M607" s="61" t="s">
        <v>93</v>
      </c>
      <c r="N607" s="44"/>
      <c r="O607" s="44"/>
      <c r="P607" s="44"/>
      <c r="Q607" s="45"/>
      <c r="R607" s="46"/>
      <c r="S607" s="46"/>
      <c r="T607" s="46"/>
      <c r="U607" s="44" t="s">
        <v>96</v>
      </c>
      <c r="V607" s="46"/>
      <c r="W607" s="44"/>
      <c r="X607" s="44"/>
      <c r="Y607" s="44"/>
      <c r="Z607" s="44"/>
      <c r="AA607" s="44"/>
      <c r="AB607" s="42"/>
      <c r="AC607" s="47" t="s">
        <v>97</v>
      </c>
      <c r="AD607" s="48"/>
      <c r="AE607" s="43"/>
      <c r="AF607" s="43"/>
      <c r="AG607" s="43"/>
      <c r="AH607" s="43"/>
      <c r="AI607" s="55"/>
      <c r="AJ607" s="52"/>
      <c r="AT607" s="52"/>
      <c r="AU607" s="59"/>
      <c r="AV607" s="58"/>
      <c r="AW607" s="58"/>
      <c r="AX607" s="54" t="s">
        <v>69</v>
      </c>
      <c r="AY607" s="43" t="s">
        <v>70</v>
      </c>
      <c r="AZ607" s="43" t="s">
        <v>70</v>
      </c>
      <c r="BA607" s="43" t="s">
        <v>71</v>
      </c>
      <c r="BB607" s="43" t="s">
        <v>69</v>
      </c>
      <c r="BC607" s="51">
        <v>31</v>
      </c>
      <c r="BD607" s="43" t="s">
        <v>70</v>
      </c>
      <c r="BE607" s="9">
        <f t="shared" si="23"/>
        <v>598</v>
      </c>
      <c r="BF607" s="9" t="str">
        <f t="shared" si="24"/>
        <v>..</v>
      </c>
    </row>
    <row r="608" spans="13:58" ht="18" customHeight="1">
      <c r="M608" s="61" t="s">
        <v>93</v>
      </c>
      <c r="N608" s="44"/>
      <c r="O608" s="44"/>
      <c r="P608" s="44"/>
      <c r="Q608" s="45"/>
      <c r="R608" s="46"/>
      <c r="S608" s="46"/>
      <c r="T608" s="46"/>
      <c r="U608" s="44" t="s">
        <v>96</v>
      </c>
      <c r="V608" s="46"/>
      <c r="W608" s="44"/>
      <c r="X608" s="44"/>
      <c r="Y608" s="44"/>
      <c r="Z608" s="44"/>
      <c r="AA608" s="44"/>
      <c r="AB608" s="42"/>
      <c r="AC608" s="47" t="s">
        <v>97</v>
      </c>
      <c r="AD608" s="48"/>
      <c r="AE608" s="43"/>
      <c r="AF608" s="43"/>
      <c r="AG608" s="43"/>
      <c r="AH608" s="43"/>
      <c r="AI608" s="55"/>
      <c r="AJ608" s="52"/>
      <c r="AT608" s="52"/>
      <c r="AU608" s="59"/>
      <c r="AV608" s="58"/>
      <c r="AW608" s="58"/>
      <c r="AX608" s="54" t="s">
        <v>69</v>
      </c>
      <c r="AY608" s="43" t="s">
        <v>70</v>
      </c>
      <c r="AZ608" s="43" t="s">
        <v>70</v>
      </c>
      <c r="BA608" s="43" t="s">
        <v>71</v>
      </c>
      <c r="BB608" s="43" t="s">
        <v>69</v>
      </c>
      <c r="BC608" s="51">
        <v>31</v>
      </c>
      <c r="BD608" s="43" t="s">
        <v>70</v>
      </c>
      <c r="BE608" s="9">
        <f t="shared" si="23"/>
        <v>599</v>
      </c>
      <c r="BF608" s="9" t="str">
        <f t="shared" si="24"/>
        <v>..</v>
      </c>
    </row>
    <row r="609" spans="13:58" ht="18" customHeight="1">
      <c r="M609" s="61" t="s">
        <v>93</v>
      </c>
      <c r="N609" s="44"/>
      <c r="O609" s="44"/>
      <c r="P609" s="44"/>
      <c r="Q609" s="45"/>
      <c r="R609" s="46"/>
      <c r="S609" s="46"/>
      <c r="T609" s="46"/>
      <c r="U609" s="44" t="s">
        <v>96</v>
      </c>
      <c r="V609" s="46"/>
      <c r="W609" s="44"/>
      <c r="X609" s="44"/>
      <c r="Y609" s="44"/>
      <c r="Z609" s="44"/>
      <c r="AA609" s="44"/>
      <c r="AB609" s="42"/>
      <c r="AC609" s="47" t="s">
        <v>97</v>
      </c>
      <c r="AD609" s="48"/>
      <c r="AE609" s="43"/>
      <c r="AF609" s="43"/>
      <c r="AG609" s="43"/>
      <c r="AH609" s="43"/>
      <c r="AI609" s="55"/>
      <c r="AJ609" s="52"/>
      <c r="AT609" s="52"/>
      <c r="AU609" s="59"/>
      <c r="AV609" s="58"/>
      <c r="AW609" s="58"/>
      <c r="AX609" s="54" t="s">
        <v>69</v>
      </c>
      <c r="AY609" s="43" t="s">
        <v>70</v>
      </c>
      <c r="AZ609" s="43" t="s">
        <v>70</v>
      </c>
      <c r="BA609" s="43" t="s">
        <v>71</v>
      </c>
      <c r="BB609" s="43" t="s">
        <v>69</v>
      </c>
      <c r="BC609" s="51">
        <v>31</v>
      </c>
      <c r="BD609" s="43" t="s">
        <v>70</v>
      </c>
      <c r="BE609" s="9">
        <f t="shared" si="23"/>
        <v>600</v>
      </c>
      <c r="BF609" s="9" t="str">
        <f t="shared" si="24"/>
        <v>..</v>
      </c>
    </row>
    <row r="610" spans="13:58" ht="18" customHeight="1">
      <c r="M610" s="61" t="s">
        <v>93</v>
      </c>
      <c r="N610" s="44"/>
      <c r="O610" s="44"/>
      <c r="P610" s="44"/>
      <c r="Q610" s="45"/>
      <c r="R610" s="46"/>
      <c r="S610" s="46"/>
      <c r="T610" s="46"/>
      <c r="U610" s="44" t="s">
        <v>96</v>
      </c>
      <c r="V610" s="46"/>
      <c r="W610" s="44"/>
      <c r="X610" s="44"/>
      <c r="Y610" s="44"/>
      <c r="Z610" s="44"/>
      <c r="AA610" s="44"/>
      <c r="AB610" s="42"/>
      <c r="AC610" s="47" t="s">
        <v>97</v>
      </c>
      <c r="AD610" s="48"/>
      <c r="AE610" s="43"/>
      <c r="AF610" s="43"/>
      <c r="AG610" s="43"/>
      <c r="AH610" s="43"/>
      <c r="AI610" s="55"/>
      <c r="AJ610" s="52"/>
      <c r="AT610" s="52"/>
      <c r="AU610" s="59"/>
      <c r="AV610" s="58"/>
      <c r="AW610" s="58"/>
      <c r="AX610" s="54" t="s">
        <v>69</v>
      </c>
      <c r="AY610" s="43" t="s">
        <v>70</v>
      </c>
      <c r="AZ610" s="43" t="s">
        <v>70</v>
      </c>
      <c r="BA610" s="43" t="s">
        <v>71</v>
      </c>
      <c r="BB610" s="43" t="s">
        <v>69</v>
      </c>
      <c r="BC610" s="51">
        <v>31</v>
      </c>
      <c r="BD610" s="43" t="s">
        <v>70</v>
      </c>
      <c r="BE610" s="9">
        <f t="shared" si="23"/>
        <v>601</v>
      </c>
      <c r="BF610" s="9" t="str">
        <f t="shared" si="24"/>
        <v>..</v>
      </c>
    </row>
    <row r="611" spans="13:58" ht="18" customHeight="1">
      <c r="M611" s="61" t="s">
        <v>93</v>
      </c>
      <c r="N611" s="44"/>
      <c r="O611" s="44"/>
      <c r="P611" s="44"/>
      <c r="Q611" s="45"/>
      <c r="R611" s="46"/>
      <c r="S611" s="46"/>
      <c r="T611" s="46"/>
      <c r="U611" s="44" t="s">
        <v>96</v>
      </c>
      <c r="V611" s="46"/>
      <c r="W611" s="44"/>
      <c r="X611" s="44"/>
      <c r="Y611" s="44"/>
      <c r="Z611" s="44"/>
      <c r="AA611" s="44"/>
      <c r="AB611" s="42"/>
      <c r="AC611" s="47" t="s">
        <v>97</v>
      </c>
      <c r="AD611" s="48"/>
      <c r="AE611" s="43"/>
      <c r="AF611" s="43"/>
      <c r="AG611" s="43"/>
      <c r="AH611" s="43"/>
      <c r="AI611" s="55"/>
      <c r="AJ611" s="52"/>
      <c r="AT611" s="52"/>
      <c r="AU611" s="59"/>
      <c r="AV611" s="58"/>
      <c r="AW611" s="58"/>
      <c r="AX611" s="54" t="s">
        <v>69</v>
      </c>
      <c r="AY611" s="43" t="s">
        <v>70</v>
      </c>
      <c r="AZ611" s="43" t="s">
        <v>70</v>
      </c>
      <c r="BA611" s="43" t="s">
        <v>71</v>
      </c>
      <c r="BB611" s="43" t="s">
        <v>69</v>
      </c>
      <c r="BC611" s="51">
        <v>31</v>
      </c>
      <c r="BD611" s="43" t="s">
        <v>70</v>
      </c>
      <c r="BE611" s="9">
        <f t="shared" si="23"/>
        <v>602</v>
      </c>
      <c r="BF611" s="9" t="str">
        <f t="shared" si="24"/>
        <v>..</v>
      </c>
    </row>
  </sheetData>
  <sheetProtection selectLockedCells="1" selectUnlockedCells="1"/>
  <autoFilter ref="A9:BD104">
    <sortState ref="A10:BD128">
      <sortCondition ref="G9:G128"/>
    </sortState>
  </autoFilter>
  <phoneticPr fontId="19" type="noConversion"/>
  <conditionalFormatting sqref="BF10:BF611">
    <cfRule type="duplicateValues" dxfId="0" priority="12"/>
  </conditionalFormatting>
  <pageMargins left="0.7" right="0.7" top="0.75" bottom="0.75" header="0.51180555555555596" footer="0.51180555555555596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4"/>
  <sheetViews>
    <sheetView workbookViewId="0">
      <selection activeCell="B5" sqref="B5"/>
    </sheetView>
  </sheetViews>
  <sheetFormatPr defaultColWidth="8.7109375" defaultRowHeight="15"/>
  <sheetData>
    <row r="1" spans="1:2">
      <c r="A1" t="s">
        <v>72</v>
      </c>
    </row>
    <row r="2" spans="1:2">
      <c r="A2" t="s">
        <v>71</v>
      </c>
      <c r="B2" t="s">
        <v>73</v>
      </c>
    </row>
    <row r="3" spans="1:2">
      <c r="A3" t="s">
        <v>74</v>
      </c>
      <c r="B3" t="s">
        <v>75</v>
      </c>
    </row>
    <row r="4" spans="1:2">
      <c r="A4" t="s">
        <v>76</v>
      </c>
      <c r="B4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F10"/>
  <sheetViews>
    <sheetView showGridLines="0" workbookViewId="0">
      <selection activeCell="J5" sqref="J5"/>
    </sheetView>
  </sheetViews>
  <sheetFormatPr defaultColWidth="8.7109375" defaultRowHeight="15"/>
  <cols>
    <col min="1" max="1" width="1.28515625" customWidth="1"/>
    <col min="2" max="2" width="64.42578125" customWidth="1"/>
    <col min="3" max="3" width="1.42578125" customWidth="1"/>
    <col min="4" max="4" width="5.42578125" customWidth="1"/>
    <col min="5" max="6" width="16" customWidth="1"/>
  </cols>
  <sheetData>
    <row r="1" spans="2:6" ht="30">
      <c r="B1" s="1" t="s">
        <v>78</v>
      </c>
      <c r="C1" s="1"/>
      <c r="D1" s="2"/>
      <c r="E1" s="2"/>
      <c r="F1" s="2"/>
    </row>
    <row r="2" spans="2:6">
      <c r="B2" s="1" t="s">
        <v>79</v>
      </c>
      <c r="C2" s="1"/>
      <c r="D2" s="2"/>
      <c r="E2" s="2"/>
      <c r="F2" s="2"/>
    </row>
    <row r="3" spans="2:6">
      <c r="B3" s="3"/>
      <c r="C3" s="3"/>
      <c r="D3" s="4"/>
      <c r="E3" s="4"/>
      <c r="F3" s="4"/>
    </row>
    <row r="4" spans="2:6" ht="45">
      <c r="B4" s="3" t="s">
        <v>80</v>
      </c>
      <c r="C4" s="3"/>
      <c r="D4" s="4"/>
      <c r="E4" s="4"/>
      <c r="F4" s="4"/>
    </row>
    <row r="5" spans="2:6">
      <c r="B5" s="3"/>
      <c r="C5" s="3"/>
      <c r="D5" s="4"/>
      <c r="E5" s="4"/>
      <c r="F5" s="4"/>
    </row>
    <row r="6" spans="2:6">
      <c r="B6" s="1" t="s">
        <v>81</v>
      </c>
      <c r="C6" s="1"/>
      <c r="D6" s="2"/>
      <c r="E6" s="2" t="s">
        <v>82</v>
      </c>
      <c r="F6" s="2" t="s">
        <v>83</v>
      </c>
    </row>
    <row r="7" spans="2:6">
      <c r="B7" s="3"/>
      <c r="C7" s="3"/>
      <c r="D7" s="4"/>
      <c r="E7" s="4"/>
      <c r="F7" s="4"/>
    </row>
    <row r="8" spans="2:6" ht="45">
      <c r="B8" s="5" t="s">
        <v>84</v>
      </c>
      <c r="C8" s="6"/>
      <c r="D8" s="7"/>
      <c r="E8" s="7">
        <v>6</v>
      </c>
      <c r="F8" s="8" t="s">
        <v>85</v>
      </c>
    </row>
    <row r="9" spans="2:6">
      <c r="B9" s="3"/>
      <c r="C9" s="3"/>
      <c r="D9" s="4"/>
      <c r="E9" s="4"/>
      <c r="F9" s="4"/>
    </row>
    <row r="10" spans="2:6">
      <c r="B10" s="3"/>
      <c r="C10" s="3"/>
      <c r="D10" s="4"/>
      <c r="E10" s="4"/>
      <c r="F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Homepass Database</vt:lpstr>
      <vt:lpstr>INSTALLATION</vt:lpstr>
      <vt:lpstr>Compatibility Report</vt:lpstr>
      <vt:lpstr>'Homepass Database'!Excel_BuiltIn__FilterDatabase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uncle</cp:lastModifiedBy>
  <dcterms:created xsi:type="dcterms:W3CDTF">2021-09-29T12:19:00Z</dcterms:created>
  <dcterms:modified xsi:type="dcterms:W3CDTF">2025-11-07T10:42:25Z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CD361F7321E2415CA597D5DE56D974E0</vt:lpwstr>
  </property>
  <property fmtid="{D5CDD505-2E9C-101B-9397-08002B2CF9AE}" pid="3" name="KSOProductBuildVer">
    <vt:lpwstr>1033-11.2.0.11440</vt:lpwstr>
  </property>
</Properties>
</file>